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FRR-KDF17\"/>
    </mc:Choice>
  </mc:AlternateContent>
  <xr:revisionPtr revIDLastSave="0" documentId="13_ncr:1_{AD8D1557-0340-4F18-A221-8ED1B93E7CAF}" xr6:coauthVersionLast="47" xr6:coauthVersionMax="47" xr10:uidLastSave="{00000000-0000-0000-0000-000000000000}"/>
  <bookViews>
    <workbookView xWindow="-110" yWindow="-110" windowWidth="19420" windowHeight="10300" xr2:uid="{89CA4CFE-68A8-4159-B253-6CA3C061C03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S6" i="2"/>
  <c r="R11" i="2"/>
  <c r="R2" i="2"/>
  <c r="R3" i="2"/>
  <c r="R4" i="2"/>
  <c r="R5" i="2"/>
  <c r="R6" i="2"/>
  <c r="R7" i="2"/>
  <c r="R8" i="2"/>
  <c r="R9" i="2"/>
  <c r="R10" i="2"/>
  <c r="Q11" i="2"/>
  <c r="Q10" i="2"/>
  <c r="L11" i="2"/>
  <c r="L10" i="2"/>
  <c r="Q9" i="2"/>
  <c r="Q8" i="2"/>
  <c r="L9" i="2"/>
  <c r="L8" i="2"/>
  <c r="Q7" i="2"/>
  <c r="Q6" i="2"/>
  <c r="L7" i="2"/>
  <c r="L6" i="2"/>
  <c r="Q5" i="2"/>
  <c r="Q4" i="2"/>
  <c r="L5" i="2"/>
  <c r="L4" i="2"/>
  <c r="L2" i="2"/>
  <c r="Q3" i="2"/>
  <c r="L3" i="2"/>
  <c r="Q2" i="2"/>
</calcChain>
</file>

<file path=xl/sharedStrings.xml><?xml version="1.0" encoding="utf-8"?>
<sst xmlns="http://schemas.openxmlformats.org/spreadsheetml/2006/main" count="53" uniqueCount="33">
  <si>
    <t>corrida_id</t>
  </si>
  <si>
    <t>condicion</t>
  </si>
  <si>
    <t>desperdicio_total</t>
  </si>
  <si>
    <t>duracion_minutos</t>
  </si>
  <si>
    <t>Con condicion</t>
  </si>
  <si>
    <t>Sin condicion</t>
  </si>
  <si>
    <t>0001382865-2</t>
  </si>
  <si>
    <t>00011365121-4</t>
  </si>
  <si>
    <t>00011365121-2</t>
  </si>
  <si>
    <t>0001382865-1</t>
  </si>
  <si>
    <t>00011365121-3</t>
  </si>
  <si>
    <t>0001382865-3</t>
  </si>
  <si>
    <t>00011365121-1</t>
  </si>
  <si>
    <t>Filtros_prod</t>
  </si>
  <si>
    <t>FRR_Corrida</t>
  </si>
  <si>
    <t>FRR_Paros</t>
  </si>
  <si>
    <t>FRR_Total</t>
  </si>
  <si>
    <t>inicio</t>
  </si>
  <si>
    <t>Fin</t>
  </si>
  <si>
    <t>ID_cap</t>
  </si>
  <si>
    <t>Sublote</t>
  </si>
  <si>
    <t>frr_faltante</t>
  </si>
  <si>
    <t>frr_insuficiente</t>
  </si>
  <si>
    <t>frr_excesivo</t>
  </si>
  <si>
    <t>frr_posicion</t>
  </si>
  <si>
    <t>15/12/2025  3:45:00 PM</t>
  </si>
  <si>
    <t>Cod_filtro</t>
  </si>
  <si>
    <t>34.C5T3</t>
  </si>
  <si>
    <t>34.C549</t>
  </si>
  <si>
    <t>%FRR_corr</t>
  </si>
  <si>
    <t>%FRR_paros</t>
  </si>
  <si>
    <t>0001382291-2</t>
  </si>
  <si>
    <t>15/12/2025  4:15:00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</si>
</sst>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22" fontId="0" fillId="0" borderId="0" xfId="0" applyNumberFormat="1" applyAlignment="1">
      <alignment horizontal="left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27" formatCode="m/d/yyyy\ h:mm"/>
      <alignment horizontal="left" vertical="bottom" textRotation="0" wrapText="0" indent="0" justifyLastLine="0" shrinkToFit="0" readingOrder="0"/>
    </dxf>
    <dxf>
      <numFmt numFmtId="27" formatCode="m/d/yyyy\ h:mm"/>
    </dxf>
    <dxf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12F39-14E6-4E1C-8F47-30729B98A91D}" name="Table2" displayName="Table2" ref="A1:S11" totalsRowShown="0" headerRowDxfId="4">
  <autoFilter ref="A1:S11" xr:uid="{B5512F39-14E6-4E1C-8F47-30729B98A91D}"/>
  <tableColumns count="19">
    <tableColumn id="1" xr3:uid="{0EF67CFC-2D01-49B0-BE61-F80BB9AA3D53}" name="corrida_id"/>
    <tableColumn id="2" xr3:uid="{8D7E9191-F232-408A-9AFE-78F05100E1A5}" name="inicio" dataDxfId="3"/>
    <tableColumn id="3" xr3:uid="{22B92C35-C652-43E5-A768-A085CE127D59}" name="Fin" dataDxfId="2"/>
    <tableColumn id="4" xr3:uid="{7BEB7F75-027A-4F38-8A54-49DD50B5B30F}" name="condicion"/>
    <tableColumn id="5" xr3:uid="{E2BFDA60-8EB6-48E8-B0BE-DA1BE4A76BFD}" name="Sublote"/>
    <tableColumn id="17" xr3:uid="{2E8E0EEC-E923-4B23-814A-F572B91D3FC4}" name="Cod_filtro"/>
    <tableColumn id="6" xr3:uid="{C8FFA508-059A-45CD-995E-CE9A3F474242}" name="ID_cap"/>
    <tableColumn id="7" xr3:uid="{3983087E-5AF4-4E5B-A703-C5FD3FCA742F}" name="frr_faltante"/>
    <tableColumn id="8" xr3:uid="{0E441D4A-3E76-4847-B964-1D097AC61BC1}" name="frr_insuficiente"/>
    <tableColumn id="9" xr3:uid="{FF81D4BB-AB75-40DD-8B78-BDA9026B1E3B}" name="frr_excesivo"/>
    <tableColumn id="10" xr3:uid="{F46344B0-379E-4A27-BB0D-8A2FC8F76E6F}" name="frr_posicion"/>
    <tableColumn id="11" xr3:uid="{E3E4FE03-E7C8-471A-863D-32F28CEEF165}" name="desperdicio_total"/>
    <tableColumn id="12" xr3:uid="{036D65DE-7926-4593-A424-DC860AE99B97}" name="duracion_minutos"/>
    <tableColumn id="13" xr3:uid="{0CABD2B8-033F-438B-A1B7-2523C85E1B83}" name="Filtros_prod"/>
    <tableColumn id="14" xr3:uid="{83A7CC6F-82E5-4844-9792-4E8125AAE4EE}" name="FRR_Corrida"/>
    <tableColumn id="15" xr3:uid="{A4E12FD9-8D5A-4AC3-80CB-EE394C547F2A}" name="FRR_Paros"/>
    <tableColumn id="16" xr3:uid="{A7CB19AF-8B10-4EE5-8A49-02BF5FDE6001}" name="FRR_Total"/>
    <tableColumn id="18" xr3:uid="{7792B4DF-3521-4BF6-B0F6-E71CAF37D9C1}" name="%FRR_corr" dataDxfId="1">
      <calculatedColumnFormula>Table2[[#This Row],[FRR_Corrida]]/Table2[[#This Row],[Filtros_prod]]</calculatedColumnFormula>
    </tableColumn>
    <tableColumn id="19" xr3:uid="{0930F5B7-7400-4801-91E9-B7CB32FC18EF}" name="%FRR_paros" dataDxfId="0">
      <calculatedColumnFormula>Table2[[#This Row],[Filtros_prod]]/Table2[[#This Row],[FRR_Paros]]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8DDB-BB9B-43AA-AAC1-49AE2296E7C7}">
  <dimension ref="A1:S11"/>
  <sheetViews>
    <sheetView tabSelected="1" topLeftCell="J1" workbookViewId="0">
      <selection activeCell="U6" sqref="U6"/>
    </sheetView>
  </sheetViews>
  <sheetFormatPr defaultRowHeight="14.5" x14ac:dyDescent="0.35"/>
  <cols>
    <col min="1" max="1" width="11.1796875" customWidth="1"/>
    <col min="2" max="3" width="15.08984375" bestFit="1" customWidth="1"/>
    <col min="4" max="4" width="11.1796875" customWidth="1"/>
    <col min="5" max="6" width="9.26953125" customWidth="1"/>
    <col min="8" max="8" width="13.90625" customWidth="1"/>
    <col min="9" max="9" width="17.453125" customWidth="1"/>
    <col min="10" max="10" width="14.6328125" customWidth="1"/>
    <col min="11" max="11" width="14.54296875" customWidth="1"/>
    <col min="12" max="12" width="17.36328125" customWidth="1"/>
    <col min="13" max="13" width="18" customWidth="1"/>
    <col min="14" max="14" width="12.7265625" customWidth="1"/>
    <col min="15" max="15" width="13.1796875" customWidth="1"/>
    <col min="16" max="16" width="11.6328125" customWidth="1"/>
    <col min="17" max="17" width="11.08984375" customWidth="1"/>
    <col min="18" max="18" width="12.08984375" bestFit="1" customWidth="1"/>
    <col min="19" max="19" width="13.453125" bestFit="1" customWidth="1"/>
  </cols>
  <sheetData>
    <row r="1" spans="1:19" x14ac:dyDescent="0.35">
      <c r="A1" s="2" t="s">
        <v>0</v>
      </c>
      <c r="B1" s="2" t="s">
        <v>17</v>
      </c>
      <c r="C1" s="2" t="s">
        <v>18</v>
      </c>
      <c r="D1" s="2" t="s">
        <v>1</v>
      </c>
      <c r="E1" s="2" t="s">
        <v>20</v>
      </c>
      <c r="F1" s="2" t="s">
        <v>26</v>
      </c>
      <c r="G1" s="2" t="s">
        <v>19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</v>
      </c>
      <c r="M1" s="2" t="s">
        <v>3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29</v>
      </c>
      <c r="S1" s="6" t="s">
        <v>30</v>
      </c>
    </row>
    <row r="2" spans="1:19" x14ac:dyDescent="0.35">
      <c r="A2">
        <v>1</v>
      </c>
      <c r="B2" s="1">
        <v>46003.496527777781</v>
      </c>
      <c r="C2" s="7">
        <v>46003.017361111109</v>
      </c>
      <c r="D2" t="s">
        <v>5</v>
      </c>
      <c r="E2" t="s">
        <v>6</v>
      </c>
      <c r="F2" s="3" t="s">
        <v>27</v>
      </c>
      <c r="G2">
        <v>361</v>
      </c>
      <c r="H2">
        <v>140</v>
      </c>
      <c r="I2">
        <v>0</v>
      </c>
      <c r="J2">
        <v>13</v>
      </c>
      <c r="K2">
        <v>34</v>
      </c>
      <c r="L2">
        <f>H2+I2+J2+K2</f>
        <v>187</v>
      </c>
      <c r="M2">
        <v>30</v>
      </c>
      <c r="N2">
        <v>74400</v>
      </c>
      <c r="O2">
        <v>1065</v>
      </c>
      <c r="P2">
        <v>0</v>
      </c>
      <c r="Q2">
        <f t="shared" ref="Q2:Q9" si="0">O2+P2</f>
        <v>1065</v>
      </c>
      <c r="R2" s="8">
        <f>Table2[[#This Row],[FRR_Corrida]]/Table2[[#This Row],[Filtros_prod]]</f>
        <v>1.4314516129032258E-2</v>
      </c>
      <c r="S2">
        <v>0</v>
      </c>
    </row>
    <row r="3" spans="1:19" x14ac:dyDescent="0.35">
      <c r="A3">
        <v>1</v>
      </c>
      <c r="B3" s="1">
        <v>46003.496527777781</v>
      </c>
      <c r="C3" s="7">
        <v>46003.017361111109</v>
      </c>
      <c r="D3" t="s">
        <v>5</v>
      </c>
      <c r="E3" t="s">
        <v>7</v>
      </c>
      <c r="F3" s="3" t="s">
        <v>27</v>
      </c>
      <c r="G3">
        <v>730</v>
      </c>
      <c r="H3">
        <v>926</v>
      </c>
      <c r="I3">
        <v>4</v>
      </c>
      <c r="J3">
        <v>13</v>
      </c>
      <c r="K3">
        <v>34</v>
      </c>
      <c r="L3">
        <f>H3+I3+J3+K3</f>
        <v>977</v>
      </c>
      <c r="M3">
        <v>30</v>
      </c>
      <c r="N3">
        <v>74400</v>
      </c>
      <c r="O3">
        <v>1065</v>
      </c>
      <c r="P3">
        <v>0</v>
      </c>
      <c r="Q3">
        <f t="shared" si="0"/>
        <v>1065</v>
      </c>
      <c r="R3" s="8">
        <f>Table2[[#This Row],[FRR_Corrida]]/Table2[[#This Row],[Filtros_prod]]</f>
        <v>1.4314516129032258E-2</v>
      </c>
      <c r="S3">
        <v>0</v>
      </c>
    </row>
    <row r="4" spans="1:19" x14ac:dyDescent="0.35">
      <c r="A4">
        <v>2</v>
      </c>
      <c r="B4" s="1">
        <v>46003.524305555555</v>
      </c>
      <c r="C4" s="7">
        <v>46003.542361111111</v>
      </c>
      <c r="D4" t="s">
        <v>4</v>
      </c>
      <c r="E4" t="s">
        <v>6</v>
      </c>
      <c r="F4" s="3" t="s">
        <v>27</v>
      </c>
      <c r="G4">
        <v>361</v>
      </c>
      <c r="H4">
        <v>163</v>
      </c>
      <c r="I4">
        <v>4</v>
      </c>
      <c r="J4">
        <v>11</v>
      </c>
      <c r="K4">
        <v>32</v>
      </c>
      <c r="L4">
        <f>H4+I4+J4+K4</f>
        <v>210</v>
      </c>
      <c r="M4">
        <v>26</v>
      </c>
      <c r="N4">
        <v>63300</v>
      </c>
      <c r="O4">
        <v>912</v>
      </c>
      <c r="P4">
        <v>0</v>
      </c>
      <c r="Q4">
        <f t="shared" si="0"/>
        <v>912</v>
      </c>
      <c r="R4" s="8">
        <f>Table2[[#This Row],[FRR_Corrida]]/Table2[[#This Row],[Filtros_prod]]</f>
        <v>1.4407582938388626E-2</v>
      </c>
      <c r="S4">
        <v>0</v>
      </c>
    </row>
    <row r="5" spans="1:19" x14ac:dyDescent="0.35">
      <c r="A5">
        <v>2</v>
      </c>
      <c r="B5" s="1">
        <v>46004.524305497682</v>
      </c>
      <c r="C5" s="7">
        <v>46003.542361111111</v>
      </c>
      <c r="D5" t="s">
        <v>4</v>
      </c>
      <c r="E5" t="s">
        <v>8</v>
      </c>
      <c r="F5" s="3" t="s">
        <v>27</v>
      </c>
      <c r="G5">
        <v>730</v>
      </c>
      <c r="H5">
        <v>623</v>
      </c>
      <c r="I5">
        <v>7</v>
      </c>
      <c r="J5">
        <v>4</v>
      </c>
      <c r="K5">
        <v>47</v>
      </c>
      <c r="L5">
        <f>H5+I5+J5+K5</f>
        <v>681</v>
      </c>
      <c r="M5">
        <v>26</v>
      </c>
      <c r="N5">
        <v>63300</v>
      </c>
      <c r="O5">
        <v>912</v>
      </c>
      <c r="P5">
        <v>0</v>
      </c>
      <c r="Q5">
        <f t="shared" si="0"/>
        <v>912</v>
      </c>
      <c r="R5" s="8">
        <f>Table2[[#This Row],[FRR_Corrida]]/Table2[[#This Row],[Filtros_prod]]</f>
        <v>1.4407582938388626E-2</v>
      </c>
      <c r="S5">
        <v>0</v>
      </c>
    </row>
    <row r="6" spans="1:19" x14ac:dyDescent="0.35">
      <c r="A6">
        <v>3</v>
      </c>
      <c r="B6" s="1">
        <v>46003.543055555558</v>
      </c>
      <c r="C6" s="7">
        <v>46003.069444444445</v>
      </c>
      <c r="D6" t="s">
        <v>5</v>
      </c>
      <c r="E6" t="s">
        <v>9</v>
      </c>
      <c r="F6" s="3" t="s">
        <v>27</v>
      </c>
      <c r="G6">
        <v>361</v>
      </c>
      <c r="H6">
        <v>912</v>
      </c>
      <c r="I6">
        <v>2</v>
      </c>
      <c r="J6">
        <v>315</v>
      </c>
      <c r="K6">
        <v>59</v>
      </c>
      <c r="L6">
        <f>Table2[[#This Row],[frr_faltante]]+Table2[[#This Row],[frr_insuficiente]]+Table2[[#This Row],[frr_excesivo]]+Table2[[#This Row],[frr_posicion]]</f>
        <v>1288</v>
      </c>
      <c r="M6">
        <v>40</v>
      </c>
      <c r="N6">
        <v>48400</v>
      </c>
      <c r="O6">
        <v>796</v>
      </c>
      <c r="P6">
        <v>1107</v>
      </c>
      <c r="Q6">
        <f t="shared" si="0"/>
        <v>1903</v>
      </c>
      <c r="R6" s="8">
        <f>Table2[[#This Row],[FRR_Corrida]]/Table2[[#This Row],[Filtros_prod]]</f>
        <v>1.6446280991735538E-2</v>
      </c>
      <c r="S6" s="8">
        <f>Table2[[#This Row],[FRR_Paros]]/Table2[[#This Row],[Filtros_prod]]</f>
        <v>2.287190082644628E-2</v>
      </c>
    </row>
    <row r="7" spans="1:19" x14ac:dyDescent="0.35">
      <c r="A7">
        <v>3</v>
      </c>
      <c r="B7" s="1">
        <v>46003.543055555558</v>
      </c>
      <c r="C7" s="7">
        <v>46003.069444444445</v>
      </c>
      <c r="D7" t="s">
        <v>5</v>
      </c>
      <c r="E7" t="s">
        <v>10</v>
      </c>
      <c r="F7" s="3" t="s">
        <v>27</v>
      </c>
      <c r="G7">
        <v>730</v>
      </c>
      <c r="H7">
        <v>1476</v>
      </c>
      <c r="I7">
        <v>8</v>
      </c>
      <c r="J7">
        <v>348</v>
      </c>
      <c r="K7">
        <v>63</v>
      </c>
      <c r="L7">
        <f>Table2[[#This Row],[frr_faltante]]+Table2[[#This Row],[frr_insuficiente]]+Table2[[#This Row],[frr_excesivo]]+Table2[[#This Row],[frr_posicion]]</f>
        <v>1895</v>
      </c>
      <c r="M7">
        <v>40</v>
      </c>
      <c r="N7">
        <v>48400</v>
      </c>
      <c r="O7">
        <v>796</v>
      </c>
      <c r="P7">
        <v>1107</v>
      </c>
      <c r="Q7">
        <f t="shared" si="0"/>
        <v>1903</v>
      </c>
      <c r="R7" s="8">
        <f>Table2[[#This Row],[FRR_Corrida]]/Table2[[#This Row],[Filtros_prod]]</f>
        <v>1.6446280991735538E-2</v>
      </c>
      <c r="S7" s="8">
        <f>Table2[[#This Row],[FRR_Paros]]/Table2[[#This Row],[Filtros_prod]]</f>
        <v>2.287190082644628E-2</v>
      </c>
    </row>
    <row r="8" spans="1:19" x14ac:dyDescent="0.35">
      <c r="A8">
        <v>4</v>
      </c>
      <c r="B8" s="1">
        <v>46003.572916666664</v>
      </c>
      <c r="C8" s="7">
        <v>46003.088888888888</v>
      </c>
      <c r="D8" t="s">
        <v>4</v>
      </c>
      <c r="E8" t="s">
        <v>11</v>
      </c>
      <c r="F8" s="3" t="s">
        <v>27</v>
      </c>
      <c r="G8">
        <v>361</v>
      </c>
      <c r="H8">
        <v>86</v>
      </c>
      <c r="I8">
        <v>1</v>
      </c>
      <c r="J8">
        <v>2</v>
      </c>
      <c r="K8">
        <v>33</v>
      </c>
      <c r="L8">
        <f>Table2[[#This Row],[frr_faltante]]+Table2[[#This Row],[frr_insuficiente]]+Table2[[#This Row],[frr_excesivo]]+Table2[[#This Row],[frr_posicion]]</f>
        <v>122</v>
      </c>
      <c r="M8">
        <v>23</v>
      </c>
      <c r="N8">
        <v>56900</v>
      </c>
      <c r="O8">
        <v>275</v>
      </c>
      <c r="P8">
        <v>0</v>
      </c>
      <c r="Q8">
        <f t="shared" si="0"/>
        <v>275</v>
      </c>
      <c r="R8" s="8">
        <f>Table2[[#This Row],[FRR_Corrida]]/Table2[[#This Row],[Filtros_prod]]</f>
        <v>4.8330404217926184E-3</v>
      </c>
      <c r="S8">
        <v>0</v>
      </c>
    </row>
    <row r="9" spans="1:19" x14ac:dyDescent="0.35">
      <c r="A9">
        <v>4</v>
      </c>
      <c r="B9" s="1">
        <v>46003.572916666664</v>
      </c>
      <c r="C9" s="7">
        <v>46003.088888888888</v>
      </c>
      <c r="D9" t="s">
        <v>4</v>
      </c>
      <c r="E9" t="s">
        <v>12</v>
      </c>
      <c r="F9" s="3" t="s">
        <v>27</v>
      </c>
      <c r="G9">
        <v>730</v>
      </c>
      <c r="H9">
        <v>178</v>
      </c>
      <c r="I9">
        <v>3</v>
      </c>
      <c r="J9">
        <v>1</v>
      </c>
      <c r="K9">
        <v>40</v>
      </c>
      <c r="L9">
        <f>Table2[[#This Row],[frr_faltante]]+Table2[[#This Row],[frr_insuficiente]]+Table2[[#This Row],[frr_excesivo]]+Table2[[#This Row],[frr_posicion]]</f>
        <v>222</v>
      </c>
      <c r="M9">
        <v>23</v>
      </c>
      <c r="N9">
        <v>56900</v>
      </c>
      <c r="O9">
        <v>275</v>
      </c>
      <c r="P9">
        <v>0</v>
      </c>
      <c r="Q9">
        <f t="shared" si="0"/>
        <v>275</v>
      </c>
      <c r="R9" s="8">
        <f>Table2[[#This Row],[FRR_Corrida]]/Table2[[#This Row],[Filtros_prod]]</f>
        <v>4.8330404217926184E-3</v>
      </c>
      <c r="S9">
        <v>0</v>
      </c>
    </row>
    <row r="10" spans="1:19" x14ac:dyDescent="0.35">
      <c r="A10">
        <v>5</v>
      </c>
      <c r="B10" s="1" t="s">
        <v>25</v>
      </c>
      <c r="C10" s="1" t="s">
        <v>32</v>
      </c>
      <c r="D10" t="s">
        <v>4</v>
      </c>
      <c r="E10" t="s">
        <v>6</v>
      </c>
      <c r="F10" s="4" t="s">
        <v>28</v>
      </c>
      <c r="G10">
        <v>361</v>
      </c>
      <c r="H10">
        <v>125</v>
      </c>
      <c r="I10">
        <v>9</v>
      </c>
      <c r="J10">
        <v>3</v>
      </c>
      <c r="K10">
        <v>3</v>
      </c>
      <c r="L10">
        <f>Table2[[#This Row],[frr_faltante]]+Table2[[#This Row],[frr_insuficiente]]+Table2[[#This Row],[frr_excesivo]]+Table2[[#This Row],[frr_posicion]]</f>
        <v>140</v>
      </c>
      <c r="M10">
        <v>30</v>
      </c>
      <c r="N10">
        <v>73000</v>
      </c>
      <c r="O10">
        <v>185</v>
      </c>
      <c r="P10">
        <v>0</v>
      </c>
      <c r="Q10">
        <f>Table2[[#This Row],[FRR_Corrida]]+Table2[[#This Row],[FRR_Paros]]</f>
        <v>185</v>
      </c>
      <c r="R10" s="8">
        <f>Table2[[#This Row],[FRR_Corrida]]/Table2[[#This Row],[Filtros_prod]]</f>
        <v>2.5342465753424659E-3</v>
      </c>
      <c r="S10">
        <v>0</v>
      </c>
    </row>
    <row r="11" spans="1:19" x14ac:dyDescent="0.35">
      <c r="A11">
        <v>5</v>
      </c>
      <c r="B11" s="1" t="s">
        <v>25</v>
      </c>
      <c r="C11" s="1" t="s">
        <v>32</v>
      </c>
      <c r="D11" t="s">
        <v>4</v>
      </c>
      <c r="E11" s="5" t="s">
        <v>31</v>
      </c>
      <c r="F11" s="4" t="s">
        <v>28</v>
      </c>
      <c r="G11">
        <v>307</v>
      </c>
      <c r="H11">
        <v>63</v>
      </c>
      <c r="I11">
        <v>7</v>
      </c>
      <c r="J11">
        <v>3</v>
      </c>
      <c r="K11">
        <v>1</v>
      </c>
      <c r="L11">
        <f>Table2[[#This Row],[frr_faltante]]+Table2[[#This Row],[frr_insuficiente]]+Table2[[#This Row],[frr_excesivo]]+Table2[[#This Row],[frr_posicion]]</f>
        <v>74</v>
      </c>
      <c r="M11">
        <v>30</v>
      </c>
      <c r="N11">
        <v>73000</v>
      </c>
      <c r="O11">
        <v>185</v>
      </c>
      <c r="P11">
        <v>0</v>
      </c>
      <c r="Q11">
        <f>Table2[[#This Row],[FRR_Corrida]]+Table2[[#This Row],[FRR_Paros]]</f>
        <v>185</v>
      </c>
      <c r="R11" s="8">
        <f>Table2[[#This Row],[FRR_Corrida]]/Table2[[#This Row],[Filtros_prod]]</f>
        <v>2.5342465753424659E-3</v>
      </c>
      <c r="S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 CEJA, JOSE FRANCISCO</dc:creator>
  <cp:lastModifiedBy>Tinoco, Jose Francisco (contracted)</cp:lastModifiedBy>
  <dcterms:created xsi:type="dcterms:W3CDTF">2025-12-14T18:23:47Z</dcterms:created>
  <dcterms:modified xsi:type="dcterms:W3CDTF">2025-12-17T14:42:43Z</dcterms:modified>
</cp:coreProperties>
</file>