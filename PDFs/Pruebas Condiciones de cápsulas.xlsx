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tinoco2\Downloads\Failures-PMI\PDFs\"/>
    </mc:Choice>
  </mc:AlternateContent>
  <xr:revisionPtr revIDLastSave="0" documentId="8_{C9BCA5FB-F45E-4CCA-B9C7-23971E964327}" xr6:coauthVersionLast="47" xr6:coauthVersionMax="47" xr10:uidLastSave="{00000000-0000-0000-0000-000000000000}"/>
  <bookViews>
    <workbookView xWindow="-110" yWindow="-110" windowWidth="19420" windowHeight="10300" firstSheet="2" activeTab="2" xr2:uid="{723DEBF2-F579-4DF7-B597-3C3F77A24307}"/>
  </bookViews>
  <sheets>
    <sheet name="Formato 2" sheetId="5" r:id="rId1"/>
    <sheet name="Formato" sheetId="1" r:id="rId2"/>
    <sheet name="Lotes" sheetId="2" r:id="rId3"/>
    <sheet name="FRR" sheetId="3" r:id="rId4"/>
    <sheet name="Sheet1" sheetId="4" r:id="rId5"/>
  </sheets>
  <externalReferences>
    <externalReference r:id="rId6"/>
  </externalReferences>
  <definedNames>
    <definedName name="_xlnm._FilterDatabase" localSheetId="4" hidden="1">Sheet1!$A$1:$Q$11</definedName>
    <definedName name="_xlnm.Print_Area" localSheetId="1">Formato!$A$1:$J$15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6" i="3" l="1"/>
  <c r="C76" i="3"/>
  <c r="K75" i="3"/>
  <c r="C75" i="3"/>
  <c r="K74" i="3"/>
  <c r="C74" i="3"/>
  <c r="K56" i="3"/>
  <c r="C56" i="3"/>
  <c r="K55" i="3"/>
  <c r="C55" i="3"/>
  <c r="K54" i="3"/>
  <c r="C54" i="3"/>
  <c r="AM4" i="3" l="1"/>
  <c r="AO4" i="3" s="1"/>
  <c r="AP4" i="3" s="1"/>
  <c r="AM5" i="3"/>
  <c r="AO5" i="3" s="1"/>
  <c r="AP5" i="3" s="1"/>
  <c r="AM3" i="3"/>
  <c r="AO3" i="3" s="1"/>
  <c r="AP3" i="3" s="1"/>
  <c r="AN9" i="3" l="1"/>
  <c r="AM9" i="3"/>
  <c r="AN10" i="3" s="1"/>
  <c r="T3" i="4"/>
  <c r="T4" i="4"/>
  <c r="T5" i="4"/>
  <c r="T6" i="4"/>
  <c r="T7" i="4"/>
  <c r="T8" i="4"/>
  <c r="T9" i="4"/>
  <c r="T10" i="4"/>
  <c r="T11" i="4"/>
  <c r="T2" i="4"/>
  <c r="S6" i="4"/>
  <c r="S7" i="4"/>
  <c r="R3" i="4"/>
  <c r="R4" i="4"/>
  <c r="R5" i="4"/>
  <c r="R6" i="4"/>
  <c r="R7" i="4"/>
  <c r="R8" i="4"/>
  <c r="R9" i="4"/>
  <c r="R10" i="4"/>
  <c r="R11" i="4"/>
  <c r="R2" i="4"/>
  <c r="C34" i="3"/>
  <c r="C16" i="3" l="1"/>
  <c r="C35" i="3"/>
  <c r="C36" i="3"/>
  <c r="AA16" i="3"/>
  <c r="S16" i="3"/>
  <c r="C17" i="3"/>
  <c r="AA17" i="3"/>
  <c r="S17" i="3"/>
  <c r="C18" i="3"/>
  <c r="AA18" i="3"/>
  <c r="S18" i="3"/>
  <c r="K17" i="3"/>
  <c r="K18" i="3"/>
  <c r="K16" i="3"/>
</calcChain>
</file>

<file path=xl/sharedStrings.xml><?xml version="1.0" encoding="utf-8"?>
<sst xmlns="http://schemas.openxmlformats.org/spreadsheetml/2006/main" count="401" uniqueCount="130">
  <si>
    <t>34.C549</t>
  </si>
  <si>
    <t># de prueba</t>
  </si>
  <si>
    <t>R1</t>
  </si>
  <si>
    <t>R2</t>
  </si>
  <si>
    <t># Sub-Batch Izq</t>
  </si>
  <si>
    <t>Capsula:  [           ]</t>
  </si>
  <si>
    <t># Sub-Batch Der</t>
  </si>
  <si>
    <t>Hora</t>
  </si>
  <si>
    <t>Inicio</t>
  </si>
  <si>
    <t>Termino</t>
  </si>
  <si>
    <t>Estadisticas</t>
  </si>
  <si>
    <t># Cápsula</t>
  </si>
  <si>
    <t>FRR faltante</t>
  </si>
  <si>
    <t>#</t>
  </si>
  <si>
    <t>FRR inscf</t>
  </si>
  <si>
    <t>FRR excesivo</t>
  </si>
  <si>
    <t>FRR posicion</t>
  </si>
  <si>
    <t>Se haran un total de 4 pruebas de donde se intercalará entre bolsas en condicion y bolsas sin condicion para ver el impacto del acondicionamiento de capsulas, cada prueba consistira de 2 bolsas, 1 de cada código de cápsula en la misma condicion.</t>
  </si>
  <si>
    <t>Condición</t>
  </si>
  <si>
    <t>Con condición</t>
  </si>
  <si>
    <t>Sin condicion</t>
  </si>
  <si>
    <t>Código Cápsula</t>
  </si>
  <si>
    <t>Código Sublote</t>
  </si>
  <si>
    <t>Hora inicio</t>
  </si>
  <si>
    <t>Hora termino</t>
  </si>
  <si>
    <t>FRR extra</t>
  </si>
  <si>
    <t>FRR rota</t>
  </si>
  <si>
    <t>34.C5T3</t>
  </si>
  <si>
    <t>Capsula</t>
  </si>
  <si>
    <t>Condicion</t>
  </si>
  <si>
    <t>Cont.</t>
  </si>
  <si>
    <t>Contenedor (Código completo)</t>
  </si>
  <si>
    <t>Ubi actual</t>
  </si>
  <si>
    <t>Sub-Batch</t>
  </si>
  <si>
    <t>Fecha consum.</t>
  </si>
  <si>
    <t>Hora Ini.</t>
  </si>
  <si>
    <t>Hora Ter.</t>
  </si>
  <si>
    <t>Manufact. date</t>
  </si>
  <si>
    <t>48hr FILBUFF</t>
  </si>
  <si>
    <t>I20A361001450336916901017</t>
  </si>
  <si>
    <t>KDF 17</t>
  </si>
  <si>
    <t>0001382865-2</t>
  </si>
  <si>
    <t>0001382865-3</t>
  </si>
  <si>
    <t>0001365121-4</t>
  </si>
  <si>
    <t>0001365121-2</t>
  </si>
  <si>
    <t>0001365121-3</t>
  </si>
  <si>
    <t>0001365121-1</t>
  </si>
  <si>
    <t>Bodega 6</t>
  </si>
  <si>
    <t>I20A361001450336916901018</t>
  </si>
  <si>
    <t>0001382865-1</t>
  </si>
  <si>
    <t>I20A730001450334393301008</t>
  </si>
  <si>
    <t>I20A730001450334393301009</t>
  </si>
  <si>
    <t xml:space="preserve"> 34.C549</t>
  </si>
  <si>
    <t>96hr FILBUFF</t>
  </si>
  <si>
    <t>24hr FILBUFF
72hr KDF</t>
  </si>
  <si>
    <t>I20A307001450336916801017</t>
  </si>
  <si>
    <t>0001382291-2</t>
  </si>
  <si>
    <t>07hr FILBUFF
22hr KDF17</t>
  </si>
  <si>
    <t>I20A361001450337340201007</t>
  </si>
  <si>
    <t>0001394587-3</t>
  </si>
  <si>
    <t>0001394587-4</t>
  </si>
  <si>
    <t>I20A361001450337340201008</t>
  </si>
  <si>
    <t>28hr FILBUFF</t>
  </si>
  <si>
    <t>I20A307001450336916801013</t>
  </si>
  <si>
    <t>FILLBUFF</t>
  </si>
  <si>
    <t>0001380663-1</t>
  </si>
  <si>
    <t>0001380663-2</t>
  </si>
  <si>
    <t>I20A307001450336916801016</t>
  </si>
  <si>
    <t>I20A307001450336916801012</t>
  </si>
  <si>
    <t>48hrs FILBUFF</t>
  </si>
  <si>
    <t>0001394587-1</t>
  </si>
  <si>
    <t>0001394587-2</t>
  </si>
  <si>
    <t>36hrs FILBUFF
156hrs KDF 17</t>
  </si>
  <si>
    <t>0001380663-3</t>
  </si>
  <si>
    <t>0001380663-4</t>
  </si>
  <si>
    <t>I20A361001450337340201009</t>
  </si>
  <si>
    <t xml:space="preserve">	
I20A361001450337340201010</t>
  </si>
  <si>
    <t xml:space="preserve">	
I20A307001450337339801010</t>
  </si>
  <si>
    <t xml:space="preserve">	
I20A307001450337339802001</t>
  </si>
  <si>
    <t>FRR</t>
  </si>
  <si>
    <t>Producción (#)</t>
  </si>
  <si>
    <t>Días (#)</t>
  </si>
  <si>
    <t>Costo TH ($)</t>
  </si>
  <si>
    <t>R3</t>
  </si>
  <si>
    <t>R4</t>
  </si>
  <si>
    <t>NA</t>
  </si>
  <si>
    <t>Sub-Batch Izq</t>
  </si>
  <si>
    <t>Sub-Batch Der</t>
  </si>
  <si>
    <t>Sin condición</t>
  </si>
  <si>
    <t>Disminución</t>
  </si>
  <si>
    <t># Filtros Prod.</t>
  </si>
  <si>
    <t># FRR (Corrida)</t>
  </si>
  <si>
    <t># FRR (Paros)</t>
  </si>
  <si>
    <t># FRR (Total)</t>
  </si>
  <si>
    <t>%</t>
  </si>
  <si>
    <t>2 Paros por cápsula atorada</t>
  </si>
  <si>
    <t>R5</t>
  </si>
  <si>
    <t>Prueba (Normal)</t>
  </si>
  <si>
    <t>24hr FILBUFF</t>
  </si>
  <si>
    <t>Foto a las</t>
  </si>
  <si>
    <t>Duracion</t>
  </si>
  <si>
    <t>21min</t>
  </si>
  <si>
    <t>corrida_id</t>
  </si>
  <si>
    <t>inicio</t>
  </si>
  <si>
    <t>Fin</t>
  </si>
  <si>
    <t>condicion</t>
  </si>
  <si>
    <t>Sublote</t>
  </si>
  <si>
    <t>Cod_filtro</t>
  </si>
  <si>
    <t>ID_cap</t>
  </si>
  <si>
    <t>frr_faltante</t>
  </si>
  <si>
    <t>frr_insuficiente</t>
  </si>
  <si>
    <t>frr_excesivo</t>
  </si>
  <si>
    <t>frr_posicion</t>
  </si>
  <si>
    <t>desperdicio_total</t>
  </si>
  <si>
    <t>duracion_minutos</t>
  </si>
  <si>
    <t>Filtros_prod</t>
  </si>
  <si>
    <t>FRR_Corrida</t>
  </si>
  <si>
    <t>FRR_Paros</t>
  </si>
  <si>
    <t>FRR_Total</t>
  </si>
  <si>
    <t>%FRR_corr</t>
  </si>
  <si>
    <t>%FRR_paros</t>
  </si>
  <si>
    <t>%Total</t>
  </si>
  <si>
    <t>00011365121-4</t>
  </si>
  <si>
    <t>12/12/2025  13:01:00 PM</t>
  </si>
  <si>
    <t>Con condicion</t>
  </si>
  <si>
    <t>00011365121-2</t>
  </si>
  <si>
    <t>00011365121-3</t>
  </si>
  <si>
    <t>00011365121-1</t>
  </si>
  <si>
    <t>15/12/2025  3:45:00 PM</t>
  </si>
  <si>
    <t>15/12/2025  4:15:00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</si>
</sst>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h:mm;@"/>
    <numFmt numFmtId="166" formatCode="_(* #,##0_);_(* \(#,##0\);_(* &quot;-&quot;??_);_(@_)"/>
    <numFmt numFmtId="167" formatCode="0.000%"/>
    <numFmt numFmtId="168" formatCode="_(&quot;$&quot;* #,##0_);_(&quot;$&quot;* \(#,##0\);_(&quot;$&quot;* &quot;-&quot;??_);_(@_)"/>
  </numFmts>
  <fonts count="16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4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sz val="10"/>
      <color rgb="FF242424"/>
      <name val="Aptos Narrow"/>
      <family val="2"/>
    </font>
    <font>
      <sz val="11"/>
      <color rgb="FF242424"/>
      <name val="Aptos Narrow"/>
      <family val="2"/>
    </font>
  </fonts>
  <fills count="1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10486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EEC4EA"/>
        <bgColor indexed="64"/>
      </patternFill>
    </fill>
    <fill>
      <patternFill patternType="solid">
        <fgColor theme="6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F9ED5"/>
      </top>
      <bottom/>
      <diagonal/>
    </border>
    <border>
      <left/>
      <right style="thin">
        <color rgb="FF0F9ED5"/>
      </right>
      <top style="thin">
        <color rgb="FF0F9ED5"/>
      </top>
      <bottom/>
      <diagonal/>
    </border>
    <border>
      <left/>
      <right/>
      <top style="thin">
        <color rgb="FF0F9ED5"/>
      </top>
      <bottom style="thin">
        <color rgb="FF0F9ED5"/>
      </bottom>
      <diagonal/>
    </border>
    <border>
      <left/>
      <right style="thin">
        <color rgb="FF0F9ED5"/>
      </right>
      <top style="thin">
        <color rgb="FF0F9ED5"/>
      </top>
      <bottom style="thin">
        <color rgb="FF0F9ED5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0" fontId="2" fillId="4" borderId="1" xfId="1" applyFont="1" applyFill="1"/>
    <xf numFmtId="0" fontId="5" fillId="3" borderId="1" xfId="1" applyFont="1" applyFill="1" applyAlignment="1">
      <alignment horizontal="center" vertical="center"/>
    </xf>
    <xf numFmtId="20" fontId="2" fillId="7" borderId="1" xfId="1" applyNumberFormat="1" applyFont="1" applyFill="1" applyAlignment="1">
      <alignment horizontal="center" vertical="center"/>
    </xf>
    <xf numFmtId="0" fontId="2" fillId="8" borderId="1" xfId="1" applyFont="1" applyFill="1" applyAlignment="1">
      <alignment horizontal="center" vertical="center"/>
    </xf>
    <xf numFmtId="0" fontId="2" fillId="7" borderId="1" xfId="1" applyFont="1" applyFill="1" applyAlignment="1">
      <alignment vertical="center"/>
    </xf>
    <xf numFmtId="0" fontId="2" fillId="8" borderId="1" xfId="1" applyFont="1" applyFill="1" applyAlignment="1">
      <alignment vertical="center"/>
    </xf>
    <xf numFmtId="0" fontId="2" fillId="4" borderId="1" xfId="1" applyFont="1" applyFill="1" applyAlignment="1">
      <alignment horizontal="center" vertical="center"/>
    </xf>
    <xf numFmtId="0" fontId="2" fillId="0" borderId="1" xfId="1" applyFont="1" applyFill="1"/>
    <xf numFmtId="0" fontId="1" fillId="11" borderId="1" xfId="1" applyFill="1"/>
    <xf numFmtId="0" fontId="6" fillId="3" borderId="1" xfId="1" applyFont="1" applyFill="1" applyAlignment="1">
      <alignment horizontal="center" vertical="center"/>
    </xf>
    <xf numFmtId="0" fontId="6" fillId="12" borderId="1" xfId="1" applyFont="1" applyFill="1" applyAlignment="1">
      <alignment horizontal="center" vertical="center"/>
    </xf>
    <xf numFmtId="0" fontId="5" fillId="12" borderId="1" xfId="1" applyFont="1" applyFill="1" applyAlignment="1">
      <alignment horizontal="center" vertical="center"/>
    </xf>
    <xf numFmtId="164" fontId="2" fillId="0" borderId="1" xfId="1" applyNumberFormat="1" applyFont="1" applyFill="1" applyAlignment="1">
      <alignment horizontal="left"/>
    </xf>
    <xf numFmtId="165" fontId="2" fillId="0" borderId="1" xfId="1" applyNumberFormat="1" applyFont="1" applyFill="1" applyAlignment="1">
      <alignment horizontal="left"/>
    </xf>
    <xf numFmtId="0" fontId="1" fillId="13" borderId="1" xfId="1" applyFill="1"/>
    <xf numFmtId="0" fontId="1" fillId="14" borderId="1" xfId="1" applyFill="1"/>
    <xf numFmtId="0" fontId="11" fillId="15" borderId="19" xfId="0" applyFont="1" applyFill="1" applyBorder="1"/>
    <xf numFmtId="0" fontId="11" fillId="15" borderId="20" xfId="0" applyFont="1" applyFill="1" applyBorder="1"/>
    <xf numFmtId="0" fontId="12" fillId="0" borderId="19" xfId="0" applyFont="1" applyBorder="1"/>
    <xf numFmtId="22" fontId="12" fillId="0" borderId="19" xfId="0" applyNumberFormat="1" applyFont="1" applyBorder="1"/>
    <xf numFmtId="0" fontId="12" fillId="0" borderId="20" xfId="0" applyFont="1" applyBorder="1"/>
    <xf numFmtId="14" fontId="12" fillId="0" borderId="19" xfId="0" applyNumberFormat="1" applyFont="1" applyBorder="1"/>
    <xf numFmtId="0" fontId="12" fillId="0" borderId="21" xfId="0" applyFont="1" applyBorder="1"/>
    <xf numFmtId="0" fontId="12" fillId="0" borderId="22" xfId="0" applyFont="1" applyBorder="1"/>
    <xf numFmtId="0" fontId="13" fillId="0" borderId="19" xfId="0" applyFont="1" applyBorder="1"/>
    <xf numFmtId="0" fontId="14" fillId="0" borderId="19" xfId="0" applyFont="1" applyBorder="1"/>
    <xf numFmtId="0" fontId="14" fillId="0" borderId="21" xfId="0" applyFont="1" applyBorder="1"/>
    <xf numFmtId="0" fontId="2" fillId="16" borderId="1" xfId="1" applyFont="1" applyFill="1"/>
    <xf numFmtId="164" fontId="2" fillId="16" borderId="1" xfId="1" applyNumberFormat="1" applyFont="1" applyFill="1" applyAlignment="1">
      <alignment horizontal="left"/>
    </xf>
    <xf numFmtId="165" fontId="2" fillId="16" borderId="1" xfId="1" applyNumberFormat="1" applyFont="1" applyFill="1" applyAlignment="1">
      <alignment horizontal="left"/>
    </xf>
    <xf numFmtId="0" fontId="7" fillId="3" borderId="14" xfId="0" applyFont="1" applyFill="1" applyBorder="1"/>
    <xf numFmtId="0" fontId="10" fillId="3" borderId="14" xfId="0" applyFont="1" applyFill="1" applyBorder="1"/>
    <xf numFmtId="0" fontId="2" fillId="14" borderId="1" xfId="1" applyFont="1" applyFill="1" applyAlignment="1">
      <alignment vertical="center"/>
    </xf>
    <xf numFmtId="0" fontId="2" fillId="14" borderId="1" xfId="1" applyFont="1" applyFill="1" applyAlignment="1">
      <alignment horizontal="center" vertical="center"/>
    </xf>
    <xf numFmtId="167" fontId="12" fillId="0" borderId="19" xfId="3" applyNumberFormat="1" applyFont="1" applyBorder="1"/>
    <xf numFmtId="167" fontId="12" fillId="0" borderId="20" xfId="3" applyNumberFormat="1" applyFont="1" applyBorder="1"/>
    <xf numFmtId="167" fontId="0" fillId="0" borderId="0" xfId="0" applyNumberFormat="1"/>
    <xf numFmtId="0" fontId="2" fillId="11" borderId="1" xfId="1" applyFont="1" applyFill="1" applyAlignment="1">
      <alignment vertical="center"/>
    </xf>
    <xf numFmtId="0" fontId="2" fillId="11" borderId="1" xfId="1" applyFont="1" applyFill="1" applyAlignment="1">
      <alignment horizontal="center" vertical="center"/>
    </xf>
    <xf numFmtId="0" fontId="2" fillId="6" borderId="1" xfId="1" applyFont="1" applyFill="1"/>
    <xf numFmtId="0" fontId="2" fillId="18" borderId="1" xfId="1" applyFont="1" applyFill="1" applyAlignment="1">
      <alignment vertical="center"/>
    </xf>
    <xf numFmtId="0" fontId="2" fillId="18" borderId="1" xfId="1" applyFont="1" applyFill="1" applyAlignment="1">
      <alignment horizontal="center" vertical="center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10" fontId="0" fillId="0" borderId="0" xfId="3" applyNumberFormat="1" applyFont="1"/>
    <xf numFmtId="10" fontId="6" fillId="3" borderId="1" xfId="3" applyNumberFormat="1" applyFont="1" applyFill="1" applyBorder="1" applyAlignment="1">
      <alignment horizontal="center" vertical="center"/>
    </xf>
    <xf numFmtId="10" fontId="6" fillId="12" borderId="1" xfId="3" applyNumberFormat="1" applyFont="1" applyFill="1" applyBorder="1" applyAlignment="1">
      <alignment horizontal="center" vertical="center"/>
    </xf>
    <xf numFmtId="10" fontId="6" fillId="8" borderId="1" xfId="3" applyNumberFormat="1" applyFont="1" applyFill="1" applyBorder="1" applyAlignment="1">
      <alignment horizontal="center" vertical="center"/>
    </xf>
    <xf numFmtId="10" fontId="6" fillId="0" borderId="1" xfId="3" applyNumberFormat="1" applyFont="1" applyFill="1" applyBorder="1" applyAlignment="1">
      <alignment horizontal="center" vertical="center"/>
    </xf>
    <xf numFmtId="166" fontId="0" fillId="0" borderId="0" xfId="2" applyNumberFormat="1" applyFont="1"/>
    <xf numFmtId="44" fontId="0" fillId="0" borderId="0" xfId="4" applyFont="1"/>
    <xf numFmtId="168" fontId="0" fillId="0" borderId="0" xfId="4" applyNumberFormat="1" applyFont="1"/>
    <xf numFmtId="43" fontId="0" fillId="0" borderId="0" xfId="0" applyNumberFormat="1"/>
    <xf numFmtId="0" fontId="2" fillId="5" borderId="1" xfId="1" applyFont="1" applyFill="1" applyAlignment="1">
      <alignment vertical="center"/>
    </xf>
    <xf numFmtId="0" fontId="2" fillId="5" borderId="1" xfId="1" applyFont="1" applyFill="1" applyAlignment="1">
      <alignment horizontal="center" vertical="center"/>
    </xf>
    <xf numFmtId="0" fontId="2" fillId="5" borderId="1" xfId="1" applyFont="1" applyFill="1" applyAlignment="1">
      <alignment horizontal="left" vertical="center"/>
    </xf>
    <xf numFmtId="0" fontId="12" fillId="16" borderId="19" xfId="0" applyFont="1" applyFill="1" applyBorder="1"/>
    <xf numFmtId="0" fontId="15" fillId="16" borderId="21" xfId="0" applyFont="1" applyFill="1" applyBorder="1"/>
    <xf numFmtId="0" fontId="12" fillId="4" borderId="19" xfId="0" applyFont="1" applyFill="1" applyBorder="1"/>
    <xf numFmtId="0" fontId="5" fillId="12" borderId="2" xfId="1" applyFont="1" applyFill="1" applyBorder="1" applyAlignment="1">
      <alignment horizontal="center" vertical="center"/>
    </xf>
    <xf numFmtId="0" fontId="5" fillId="12" borderId="13" xfId="1" applyFont="1" applyFill="1" applyBorder="1" applyAlignment="1">
      <alignment horizontal="center" vertical="center"/>
    </xf>
    <xf numFmtId="0" fontId="5" fillId="1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13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164" fontId="5" fillId="5" borderId="8" xfId="1" applyNumberFormat="1" applyFont="1" applyFill="1" applyBorder="1" applyAlignment="1">
      <alignment horizontal="center" vertical="center"/>
    </xf>
    <xf numFmtId="164" fontId="5" fillId="5" borderId="4" xfId="1" applyNumberFormat="1" applyFont="1" applyFill="1" applyBorder="1" applyAlignment="1">
      <alignment horizontal="center" vertical="center"/>
    </xf>
    <xf numFmtId="0" fontId="2" fillId="5" borderId="2" xfId="1" applyFont="1" applyFill="1" applyBorder="1" applyAlignment="1">
      <alignment horizontal="center" vertical="center"/>
    </xf>
    <xf numFmtId="0" fontId="2" fillId="5" borderId="3" xfId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/>
    </xf>
    <xf numFmtId="0" fontId="2" fillId="6" borderId="3" xfId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center" wrapText="1"/>
    </xf>
    <xf numFmtId="0" fontId="2" fillId="4" borderId="6" xfId="1" applyFont="1" applyFill="1" applyBorder="1" applyAlignment="1">
      <alignment horizontal="center" wrapText="1"/>
    </xf>
    <xf numFmtId="0" fontId="2" fillId="4" borderId="7" xfId="1" applyFont="1" applyFill="1" applyBorder="1" applyAlignment="1">
      <alignment horizontal="center" wrapText="1"/>
    </xf>
    <xf numFmtId="0" fontId="2" fillId="4" borderId="8" xfId="1" applyFont="1" applyFill="1" applyBorder="1" applyAlignment="1">
      <alignment horizontal="center" wrapText="1"/>
    </xf>
    <xf numFmtId="0" fontId="2" fillId="4" borderId="4" xfId="1" applyFont="1" applyFill="1" applyBorder="1" applyAlignment="1">
      <alignment horizontal="center" wrapText="1"/>
    </xf>
    <xf numFmtId="0" fontId="2" fillId="4" borderId="9" xfId="1" applyFont="1" applyFill="1" applyBorder="1" applyAlignment="1">
      <alignment horizontal="center" wrapText="1"/>
    </xf>
    <xf numFmtId="0" fontId="2" fillId="0" borderId="11" xfId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0" fontId="2" fillId="0" borderId="12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left" vertical="center" wrapText="1"/>
    </xf>
    <xf numFmtId="0" fontId="2" fillId="0" borderId="12" xfId="1" applyFont="1" applyFill="1" applyBorder="1" applyAlignment="1">
      <alignment horizontal="left" vertical="center"/>
    </xf>
    <xf numFmtId="0" fontId="2" fillId="9" borderId="1" xfId="1" applyFont="1" applyFill="1" applyAlignment="1">
      <alignment horizontal="left" vertical="center"/>
    </xf>
    <xf numFmtId="0" fontId="2" fillId="9" borderId="11" xfId="1" applyFont="1" applyFill="1" applyBorder="1" applyAlignment="1">
      <alignment horizontal="left" vertical="center"/>
    </xf>
    <xf numFmtId="0" fontId="2" fillId="9" borderId="12" xfId="1" applyFont="1" applyFill="1" applyBorder="1" applyAlignment="1">
      <alignment horizontal="left" vertical="center"/>
    </xf>
    <xf numFmtId="164" fontId="2" fillId="5" borderId="8" xfId="1" applyNumberFormat="1" applyFont="1" applyFill="1" applyBorder="1" applyAlignment="1">
      <alignment horizontal="center"/>
    </xf>
    <xf numFmtId="164" fontId="2" fillId="5" borderId="4" xfId="1" applyNumberFormat="1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2" fillId="0" borderId="1" xfId="1" applyFont="1" applyFill="1" applyAlignment="1">
      <alignment horizontal="left" vertical="center" wrapText="1"/>
    </xf>
    <xf numFmtId="0" fontId="2" fillId="0" borderId="1" xfId="1" applyFont="1" applyFill="1" applyAlignment="1">
      <alignment horizontal="left" vertical="center"/>
    </xf>
    <xf numFmtId="0" fontId="2" fillId="0" borderId="1" xfId="1" applyFont="1" applyFill="1" applyAlignment="1">
      <alignment horizontal="center" vertical="center"/>
    </xf>
    <xf numFmtId="0" fontId="2" fillId="10" borderId="1" xfId="1" applyFont="1" applyFill="1" applyAlignment="1">
      <alignment horizontal="left" vertical="center"/>
    </xf>
    <xf numFmtId="0" fontId="2" fillId="10" borderId="1" xfId="1" applyFont="1" applyFill="1" applyAlignment="1">
      <alignment horizontal="left" vertical="center" wrapText="1"/>
    </xf>
    <xf numFmtId="0" fontId="2" fillId="10" borderId="11" xfId="1" applyFont="1" applyFill="1" applyBorder="1" applyAlignment="1">
      <alignment horizontal="left" vertical="center"/>
    </xf>
    <xf numFmtId="0" fontId="2" fillId="10" borderId="12" xfId="1" applyFont="1" applyFill="1" applyBorder="1" applyAlignment="1">
      <alignment horizontal="left" vertical="center"/>
    </xf>
    <xf numFmtId="0" fontId="2" fillId="10" borderId="11" xfId="1" applyFont="1" applyFill="1" applyBorder="1" applyAlignment="1">
      <alignment horizontal="left" vertical="center" wrapText="1"/>
    </xf>
    <xf numFmtId="0" fontId="5" fillId="16" borderId="2" xfId="1" applyFont="1" applyFill="1" applyBorder="1" applyAlignment="1">
      <alignment horizontal="center" vertical="center"/>
    </xf>
    <xf numFmtId="0" fontId="5" fillId="16" borderId="13" xfId="1" applyFont="1" applyFill="1" applyBorder="1" applyAlignment="1">
      <alignment horizontal="center" vertical="center"/>
    </xf>
    <xf numFmtId="0" fontId="5" fillId="16" borderId="3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6" fillId="12" borderId="2" xfId="1" applyFont="1" applyFill="1" applyBorder="1" applyAlignment="1">
      <alignment horizontal="center" vertical="center"/>
    </xf>
    <xf numFmtId="0" fontId="6" fillId="12" borderId="3" xfId="1" applyFont="1" applyFill="1" applyBorder="1" applyAlignment="1">
      <alignment horizontal="center" vertical="center"/>
    </xf>
    <xf numFmtId="166" fontId="2" fillId="8" borderId="2" xfId="2" applyNumberFormat="1" applyFont="1" applyFill="1" applyBorder="1" applyAlignment="1">
      <alignment horizontal="left" vertical="center"/>
    </xf>
    <xf numFmtId="166" fontId="2" fillId="8" borderId="13" xfId="2" applyNumberFormat="1" applyFont="1" applyFill="1" applyBorder="1" applyAlignment="1">
      <alignment horizontal="left" vertical="center"/>
    </xf>
    <xf numFmtId="166" fontId="2" fillId="8" borderId="3" xfId="2" applyNumberFormat="1" applyFont="1" applyFill="1" applyBorder="1" applyAlignment="1">
      <alignment horizontal="left" vertical="center"/>
    </xf>
    <xf numFmtId="10" fontId="2" fillId="17" borderId="2" xfId="2" applyNumberFormat="1" applyFont="1" applyFill="1" applyBorder="1" applyAlignment="1">
      <alignment horizontal="right" vertical="center"/>
    </xf>
    <xf numFmtId="10" fontId="2" fillId="17" borderId="13" xfId="2" applyNumberFormat="1" applyFont="1" applyFill="1" applyBorder="1" applyAlignment="1">
      <alignment horizontal="right" vertical="center"/>
    </xf>
    <xf numFmtId="10" fontId="2" fillId="17" borderId="3" xfId="2" applyNumberFormat="1" applyFont="1" applyFill="1" applyBorder="1" applyAlignment="1">
      <alignment horizontal="right" vertical="center"/>
    </xf>
    <xf numFmtId="0" fontId="0" fillId="5" borderId="18" xfId="0" applyFill="1" applyBorder="1" applyAlignment="1">
      <alignment horizontal="center"/>
    </xf>
    <xf numFmtId="21" fontId="0" fillId="0" borderId="6" xfId="0" applyNumberFormat="1" applyBorder="1" applyAlignment="1">
      <alignment horizontal="center"/>
    </xf>
  </cellXfs>
  <cellStyles count="5">
    <cellStyle name="Comma" xfId="2" builtinId="3"/>
    <cellStyle name="Currency" xfId="4" builtinId="4"/>
    <cellStyle name="Normal" xfId="0" builtinId="0"/>
    <cellStyle name="Output" xfId="1" builtinId="21"/>
    <cellStyle name="Percent" xfId="3" builtinId="5"/>
  </cellStyles>
  <dxfs count="22">
    <dxf>
      <numFmt numFmtId="167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 style="thin">
          <color rgb="FF0F9ED5"/>
        </right>
        <top style="thin">
          <color rgb="FF0F9E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7" formatCode="0.000%"/>
      <border diagonalUp="0" diagonalDown="0">
        <left/>
        <right/>
        <top style="thin">
          <color rgb="FF0F9E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/>
        <top style="thin">
          <color rgb="FF0F9E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/>
        <top style="thin">
          <color rgb="FF0F9E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/>
        <top style="thin">
          <color rgb="FF0F9E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/>
        <top style="thin">
          <color rgb="FF0F9E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/>
        <top style="thin">
          <color rgb="FF0F9E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/>
        <top style="thin">
          <color rgb="FF0F9E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/>
        <top style="thin">
          <color rgb="FF0F9E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/>
        <top style="thin">
          <color rgb="FF0F9E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/>
        <top style="thin">
          <color rgb="FF0F9E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/>
        <top style="thin">
          <color rgb="FF0F9E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/>
        <top style="thin">
          <color rgb="FF0F9E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border diagonalUp="0" diagonalDown="0">
        <left/>
        <right/>
        <top style="thin">
          <color rgb="FF0F9E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/>
        <top style="thin">
          <color rgb="FF0F9E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/>
        <top style="thin">
          <color rgb="FF0F9E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27" formatCode="m/d/yyyy\ h:mm"/>
      <border diagonalUp="0" diagonalDown="0">
        <left/>
        <right/>
        <top style="thin">
          <color rgb="FF0F9E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27" formatCode="m/d/yyyy\ h:mm"/>
      <border diagonalUp="0" diagonalDown="0">
        <left/>
        <right/>
        <top style="thin">
          <color rgb="FF0F9E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/>
        <top style="thin">
          <color rgb="FF0F9ED5"/>
        </top>
        <bottom/>
        <vertical/>
        <horizontal/>
      </border>
    </dxf>
    <dxf>
      <border outline="0">
        <left style="thin">
          <color rgb="FF0F9ED5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000000"/>
          <bgColor rgb="FF104861"/>
        </patternFill>
      </fill>
    </dxf>
  </dxfs>
  <tableStyles count="0" defaultTableStyle="TableStyleMedium2" defaultPivotStyle="PivotStyleLight16"/>
  <colors>
    <mruColors>
      <color rgb="FFEEC4EA"/>
      <color rgb="FFFAEAF8"/>
      <color rgb="FFECFA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Desperdicio de cápsula en corrida</a:t>
            </a:r>
          </a:p>
        </c:rich>
      </c:tx>
      <c:layout>
        <c:manualLayout>
          <c:xMode val="edge"/>
          <c:yMode val="edge"/>
          <c:x val="0.25282636545431819"/>
          <c:y val="2.751066272965879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736311606882474"/>
          <c:y val="0.14022446412948381"/>
          <c:w val="0.65824553180852396"/>
          <c:h val="0.73459618328958898"/>
        </c:manualLayout>
      </c:layout>
      <c:barChart>
        <c:barDir val="col"/>
        <c:grouping val="clustered"/>
        <c:varyColors val="1"/>
        <c:ser>
          <c:idx val="0"/>
          <c:order val="2"/>
          <c:tx>
            <c:v>Sin Condición</c:v>
          </c:tx>
          <c:spPr>
            <a:solidFill>
              <a:srgbClr val="FF0000"/>
            </a:solidFill>
            <a:ln w="0">
              <a:prstDash val="solid"/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00B0F0"/>
              </a:solidFill>
              <a:ln w="0"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BFF-4BB5-9639-121877A94E51}"/>
              </c:ext>
            </c:extLst>
          </c:dPt>
          <c:dPt>
            <c:idx val="3"/>
            <c:invertIfNegative val="1"/>
            <c:bubble3D val="0"/>
            <c:spPr>
              <a:solidFill>
                <a:srgbClr val="00B0F0"/>
              </a:solidFill>
              <a:ln w="0"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BFF-4BB5-9639-121877A94E51}"/>
              </c:ext>
            </c:extLst>
          </c:dPt>
          <c:dLbls>
            <c:dLbl>
              <c:idx val="3"/>
              <c:layout>
                <c:manualLayout>
                  <c:x val="2.380952380952380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FF-4BB5-9639-121877A94E5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'[1]R1-4'!$A$2:$A$5</c:f>
              <c:strCache>
                <c:ptCount val="4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</c:strCache>
            </c:strRef>
          </c:cat>
          <c:val>
            <c:numRef>
              <c:f>'[1]R1-4'!$B$2:$B$5</c:f>
              <c:numCache>
                <c:formatCode>General</c:formatCode>
                <c:ptCount val="4"/>
                <c:pt idx="0">
                  <c:v>1.43E-2</c:v>
                </c:pt>
                <c:pt idx="1">
                  <c:v>1.43E-2</c:v>
                </c:pt>
                <c:pt idx="2">
                  <c:v>1.61E-2</c:v>
                </c:pt>
                <c:pt idx="3">
                  <c:v>4.7999999999999996E-3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0"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BFF-4BB5-9639-121877A94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v>Con condición</c:v>
                </c:tx>
                <c:spPr>
                  <a:solidFill>
                    <a:srgbClr val="00B0F0"/>
                  </a:solidFill>
                  <a:ln>
                    <a:prstDash val="solid"/>
                  </a:ln>
                </c:spPr>
                <c:invertIfNegative val="1"/>
                <c:cat>
                  <c:strRef>
                    <c:extLst>
                      <c:ext uri="{02D57815-91ED-43cb-92C2-25804820EDAC}">
                        <c15:formulaRef>
                          <c15:sqref>'[1]R1-4'!$A$2:$A$5</c15:sqref>
                        </c15:formulaRef>
                      </c:ext>
                    </c:extLst>
                    <c:strCache>
                      <c:ptCount val="4"/>
                      <c:pt idx="0">
                        <c:v>R1</c:v>
                      </c:pt>
                      <c:pt idx="1">
                        <c:v>R2</c:v>
                      </c:pt>
                      <c:pt idx="2">
                        <c:v>R3</c:v>
                      </c:pt>
                      <c:pt idx="3">
                        <c:v>R4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'[1]R1-4'!$E$2:$E$5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4="http://schemas.microsoft.com/office/drawing/2007/8/2/chart" uri="{6F2FDCE9-48DA-4B69-8628-5D25D57E5C99}">
                    <c14:invertSolidFillFmt>
                      <c14:spPr xmlns:c14="http://schemas.microsoft.com/office/drawing/2007/8/2/chart">
                        <a:solidFill>
                          <a:srgbClr val="FFFFFF"/>
                        </a:solidFill>
                        <a:ln>
                          <a:prstDash val="solid"/>
                        </a:ln>
                      </c14:spPr>
                    </c14:invertSolidFillFmt>
                  </c:ext>
                  <c:ext xmlns:c16="http://schemas.microsoft.com/office/drawing/2014/chart" uri="{C3380CC4-5D6E-409C-BE32-E72D297353CC}">
                    <c16:uniqueId val="{00000006-2BFF-4BB5-9639-121877A94E51}"/>
                  </c:ext>
                </c:extLst>
              </c15:ser>
            </c15:filteredBarSeries>
          </c:ext>
        </c:extLst>
      </c:barChart>
      <c:lineChart>
        <c:grouping val="standard"/>
        <c:varyColors val="1"/>
        <c:ser>
          <c:idx val="2"/>
          <c:order val="1"/>
          <c:tx>
            <c:v>Cambio en FRR</c:v>
          </c:tx>
          <c:spPr>
            <a:ln w="25400" cap="flat">
              <a:solidFill>
                <a:schemeClr val="tx1"/>
              </a:solidFill>
              <a:prstDash val="solid"/>
              <a:bevel/>
            </a:ln>
            <a:effectLst>
              <a:softEdge rad="0"/>
            </a:effectLst>
          </c:spPr>
          <c:marker>
            <c:symbol val="none"/>
          </c:marker>
          <c:cat>
            <c:strRef>
              <c:f>'[1]R1-4'!$A$2:$A$5</c:f>
              <c:strCache>
                <c:ptCount val="4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</c:strCache>
            </c:strRef>
          </c:cat>
          <c:val>
            <c:numRef>
              <c:f>'[1]R1-4'!$D$2:$D$5</c:f>
              <c:numCache>
                <c:formatCode>General</c:formatCode>
                <c:ptCount val="4"/>
                <c:pt idx="0">
                  <c:v>1.43E-2</c:v>
                </c:pt>
                <c:pt idx="1">
                  <c:v>1.43E-2</c:v>
                </c:pt>
                <c:pt idx="2">
                  <c:v>1.61E-2</c:v>
                </c:pt>
                <c:pt idx="3">
                  <c:v>4.7999999999999996E-3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FF-4BB5-9639-121877A94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Número de prueba</a:t>
                </a:r>
              </a:p>
            </c:rich>
          </c:tx>
          <c:layout>
            <c:manualLayout>
              <c:xMode val="edge"/>
              <c:yMode val="edge"/>
              <c:x val="0.40050368703912009"/>
              <c:y val="0.93055555555555558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Desperdicio (%)</a:t>
                </a:r>
              </a:p>
            </c:rich>
          </c:tx>
          <c:layout>
            <c:manualLayout>
              <c:xMode val="edge"/>
              <c:yMode val="edge"/>
              <c:x val="3.254983752030996E-2"/>
              <c:y val="0.41407644356955381"/>
            </c:manualLayout>
          </c:layout>
          <c:overlay val="1"/>
        </c:title>
        <c:numFmt formatCode="0.00%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ln cap="sq">
      <a:miter lim="800000"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0</xdr:colOff>
      <xdr:row>1</xdr:row>
      <xdr:rowOff>0</xdr:rowOff>
    </xdr:from>
    <xdr:ext cx="6400800" cy="36576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29FE22E-1803-4013-83A6-5F33239854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52</xdr:col>
      <xdr:colOff>437517</xdr:colOff>
      <xdr:row>8</xdr:row>
      <xdr:rowOff>27267</xdr:rowOff>
    </xdr:from>
    <xdr:to>
      <xdr:col>54</xdr:col>
      <xdr:colOff>220670</xdr:colOff>
      <xdr:row>11</xdr:row>
      <xdr:rowOff>48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4F54AD1-F389-4782-96DB-78228ABB9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10908" y="1791463"/>
          <a:ext cx="1005804" cy="5449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micloud-my.sharepoint.com/personal/oalvarez_pmintl_net/Documents/Documents/6%20-%20Analisis/UPS/Pruebas%20Condiciones%20de%20c&#225;psulas%20Grafica.xlsx" TargetMode="External"/><Relationship Id="rId1" Type="http://schemas.openxmlformats.org/officeDocument/2006/relationships/externalLinkPath" Target="https://pmicloud-my.sharepoint.com/personal/oalvarez_pmintl_net/Documents/Documents/6%20-%20Analisis/UPS/Pruebas%20Condiciones%20de%20c&#225;psulas%20Grafi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1-4"/>
    </sheetNames>
    <sheetDataSet>
      <sheetData sheetId="0">
        <row r="2">
          <cell r="A2" t="str">
            <v>R1</v>
          </cell>
          <cell r="B2">
            <v>1.43E-2</v>
          </cell>
          <cell r="D2">
            <v>1.43E-2</v>
          </cell>
        </row>
        <row r="3">
          <cell r="A3" t="str">
            <v>R2</v>
          </cell>
          <cell r="B3">
            <v>1.43E-2</v>
          </cell>
          <cell r="D3">
            <v>1.43E-2</v>
          </cell>
        </row>
        <row r="4">
          <cell r="A4" t="str">
            <v>R3</v>
          </cell>
          <cell r="B4">
            <v>1.61E-2</v>
          </cell>
          <cell r="D4">
            <v>1.61E-2</v>
          </cell>
        </row>
        <row r="5">
          <cell r="A5" t="str">
            <v>R4</v>
          </cell>
          <cell r="B5">
            <v>4.7999999999999996E-3</v>
          </cell>
          <cell r="D5">
            <v>4.7999999999999996E-3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DDD281-A2AF-427A-96E7-E883119B9AF0}" name="Table1" displayName="Table1" ref="A1:T11" totalsRowShown="0" headerRowDxfId="21" tableBorderDxfId="20">
  <autoFilter ref="A1:T11" xr:uid="{CCDDD281-A2AF-427A-96E7-E883119B9AF0}"/>
  <tableColumns count="20">
    <tableColumn id="1" xr3:uid="{96B887A9-10BB-4F01-860B-3D81CD1FD4CC}" name="corrida_id" dataDxfId="19"/>
    <tableColumn id="2" xr3:uid="{BA665D16-D323-4114-873C-8BD2F159D21C}" name="inicio" dataDxfId="18"/>
    <tableColumn id="3" xr3:uid="{F88B65DA-25FF-49DB-A8CB-93A717A24528}" name="Fin" dataDxfId="17"/>
    <tableColumn id="4" xr3:uid="{D177EEA4-6306-497B-BF4B-FB9C82C6CE0A}" name="condicion" dataDxfId="16"/>
    <tableColumn id="5" xr3:uid="{0738E64E-9194-4864-BAFF-8B01E07B487D}" name="Sublote" dataDxfId="15"/>
    <tableColumn id="6" xr3:uid="{0251C211-B666-4FBF-BF92-51FA39BC9B58}" name="Cod_filtro" dataDxfId="14"/>
    <tableColumn id="7" xr3:uid="{A67005D0-CCE6-49C7-A6D1-EF9FB4B238CB}" name="ID_cap" dataDxfId="13"/>
    <tableColumn id="8" xr3:uid="{37DB0F1D-3FBC-4AC5-8E37-CDA32FDE097E}" name="frr_faltante" dataDxfId="12"/>
    <tableColumn id="9" xr3:uid="{D6E6ACAB-DD7A-44B9-B232-8F8391C58D8B}" name="frr_insuficiente" dataDxfId="11"/>
    <tableColumn id="10" xr3:uid="{F01512A7-A692-4183-87C1-10CE08896323}" name="frr_excesivo" dataDxfId="10"/>
    <tableColumn id="11" xr3:uid="{4350E2C9-B226-4EF8-BFDD-86565B2E1731}" name="frr_posicion" dataDxfId="9"/>
    <tableColumn id="12" xr3:uid="{876BD6D0-2498-4D0B-9313-E6A8F182E66F}" name="desperdicio_total" dataDxfId="8"/>
    <tableColumn id="13" xr3:uid="{D5C9D828-4A78-4B01-B1AB-7EEBFEF5802C}" name="duracion_minutos" dataDxfId="7"/>
    <tableColumn id="14" xr3:uid="{7C2D1E12-BCFB-41ED-92C1-959EAD8EE18B}" name="Filtros_prod" dataDxfId="6"/>
    <tableColumn id="15" xr3:uid="{B24CC619-C8D7-45B0-BE16-FEC02FDCFC57}" name="FRR_Corrida" dataDxfId="5"/>
    <tableColumn id="16" xr3:uid="{4D523F9D-4FB1-45A2-B75B-2C39F5775C90}" name="FRR_Paros" dataDxfId="4"/>
    <tableColumn id="17" xr3:uid="{27B06EE0-1FE1-4EE2-9433-2039732DE9B3}" name="FRR_Total" dataDxfId="3"/>
    <tableColumn id="18" xr3:uid="{FD773C9E-4E0A-40A3-9067-3A328C02EA33}" name="%FRR_corr" dataDxfId="2" dataCellStyle="Percent">
      <calculatedColumnFormula>O2/N2</calculatedColumnFormula>
    </tableColumn>
    <tableColumn id="19" xr3:uid="{5444904B-606E-45CF-8515-655E6288DF79}" name="%FRR_paros" dataDxfId="1"/>
    <tableColumn id="20" xr3:uid="{B53D3A3D-07FD-4A6B-AB10-D4AC17934C58}" name="%Total" dataDxfId="0">
      <calculatedColumnFormula>R2+S2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EE14-89F5-4FC8-93B7-C99759BE89C7}">
  <dimension ref="A2:R12"/>
  <sheetViews>
    <sheetView zoomScale="85" zoomScaleNormal="85" workbookViewId="0">
      <selection activeCell="R12" sqref="A2:R12"/>
    </sheetView>
  </sheetViews>
  <sheetFormatPr defaultRowHeight="14.5" x14ac:dyDescent="0.35"/>
  <cols>
    <col min="1" max="1" width="14.453125" customWidth="1"/>
    <col min="2" max="2" width="14.54296875" customWidth="1"/>
    <col min="3" max="34" width="4.453125" customWidth="1"/>
    <col min="35" max="37" width="9.7265625" customWidth="1"/>
    <col min="38" max="42" width="13.54296875" customWidth="1"/>
  </cols>
  <sheetData>
    <row r="2" spans="1:18" ht="18.649999999999999" customHeight="1" x14ac:dyDescent="0.35">
      <c r="A2" s="70">
        <v>46010</v>
      </c>
      <c r="B2" s="71"/>
      <c r="C2" s="74" t="s">
        <v>0</v>
      </c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</row>
    <row r="3" spans="1:18" ht="18.5" x14ac:dyDescent="0.35">
      <c r="A3" s="72" t="s">
        <v>1</v>
      </c>
      <c r="B3" s="73"/>
      <c r="C3" s="64" t="s">
        <v>2</v>
      </c>
      <c r="D3" s="65"/>
      <c r="E3" s="65"/>
      <c r="F3" s="65"/>
      <c r="G3" s="65"/>
      <c r="H3" s="65"/>
      <c r="I3" s="65"/>
      <c r="J3" s="66"/>
      <c r="K3" s="67" t="s">
        <v>3</v>
      </c>
      <c r="L3" s="68"/>
      <c r="M3" s="68"/>
      <c r="N3" s="68"/>
      <c r="O3" s="68"/>
      <c r="P3" s="68"/>
      <c r="Q3" s="68"/>
      <c r="R3" s="69"/>
    </row>
    <row r="4" spans="1:18" ht="18.5" x14ac:dyDescent="0.35">
      <c r="A4" s="58" t="s">
        <v>4</v>
      </c>
      <c r="B4" s="60" t="s">
        <v>5</v>
      </c>
      <c r="C4" s="64"/>
      <c r="D4" s="65"/>
      <c r="E4" s="65"/>
      <c r="F4" s="65"/>
      <c r="G4" s="65"/>
      <c r="H4" s="65"/>
      <c r="I4" s="65"/>
      <c r="J4" s="66"/>
      <c r="K4" s="67"/>
      <c r="L4" s="68"/>
      <c r="M4" s="68"/>
      <c r="N4" s="68"/>
      <c r="O4" s="68"/>
      <c r="P4" s="68"/>
      <c r="Q4" s="68"/>
      <c r="R4" s="69"/>
    </row>
    <row r="5" spans="1:18" ht="18.5" x14ac:dyDescent="0.35">
      <c r="A5" s="58" t="s">
        <v>6</v>
      </c>
      <c r="B5" s="60" t="s">
        <v>5</v>
      </c>
      <c r="C5" s="64"/>
      <c r="D5" s="65"/>
      <c r="E5" s="65"/>
      <c r="F5" s="65"/>
      <c r="G5" s="65"/>
      <c r="H5" s="65"/>
      <c r="I5" s="65"/>
      <c r="J5" s="66"/>
      <c r="K5" s="67"/>
      <c r="L5" s="68"/>
      <c r="M5" s="68"/>
      <c r="N5" s="68"/>
      <c r="O5" s="68"/>
      <c r="P5" s="68"/>
      <c r="Q5" s="68"/>
      <c r="R5" s="69"/>
    </row>
    <row r="6" spans="1:18" ht="18.5" x14ac:dyDescent="0.35">
      <c r="A6" s="58" t="s">
        <v>7</v>
      </c>
      <c r="B6" s="60" t="s">
        <v>8</v>
      </c>
      <c r="C6" s="64"/>
      <c r="D6" s="65"/>
      <c r="E6" s="65"/>
      <c r="F6" s="65"/>
      <c r="G6" s="65"/>
      <c r="H6" s="65"/>
      <c r="I6" s="65"/>
      <c r="J6" s="66"/>
      <c r="K6" s="67"/>
      <c r="L6" s="68"/>
      <c r="M6" s="68"/>
      <c r="N6" s="68"/>
      <c r="O6" s="68"/>
      <c r="P6" s="68"/>
      <c r="Q6" s="68"/>
      <c r="R6" s="69"/>
    </row>
    <row r="7" spans="1:18" ht="18.5" x14ac:dyDescent="0.35">
      <c r="A7" s="58" t="s">
        <v>7</v>
      </c>
      <c r="B7" s="60" t="s">
        <v>9</v>
      </c>
      <c r="C7" s="64"/>
      <c r="D7" s="65"/>
      <c r="E7" s="65"/>
      <c r="F7" s="65"/>
      <c r="G7" s="65"/>
      <c r="H7" s="65"/>
      <c r="I7" s="65"/>
      <c r="J7" s="66"/>
      <c r="K7" s="67"/>
      <c r="L7" s="68"/>
      <c r="M7" s="68"/>
      <c r="N7" s="68"/>
      <c r="O7" s="68"/>
      <c r="P7" s="68"/>
      <c r="Q7" s="68"/>
      <c r="R7" s="69"/>
    </row>
    <row r="8" spans="1:18" ht="18.5" x14ac:dyDescent="0.35">
      <c r="A8" s="58" t="s">
        <v>10</v>
      </c>
      <c r="B8" s="59" t="s">
        <v>11</v>
      </c>
      <c r="C8" s="16">
        <v>1</v>
      </c>
      <c r="D8" s="16">
        <v>2</v>
      </c>
      <c r="E8" s="16">
        <v>3</v>
      </c>
      <c r="F8" s="16">
        <v>4</v>
      </c>
      <c r="G8" s="16">
        <v>5</v>
      </c>
      <c r="H8" s="16">
        <v>6</v>
      </c>
      <c r="I8" s="16">
        <v>7</v>
      </c>
      <c r="J8" s="16">
        <v>8</v>
      </c>
      <c r="K8" s="6">
        <v>1</v>
      </c>
      <c r="L8" s="6">
        <v>2</v>
      </c>
      <c r="M8" s="6">
        <v>3</v>
      </c>
      <c r="N8" s="6">
        <v>4</v>
      </c>
      <c r="O8" s="6">
        <v>5</v>
      </c>
      <c r="P8" s="6">
        <v>6</v>
      </c>
      <c r="Q8" s="6">
        <v>7</v>
      </c>
      <c r="R8" s="6">
        <v>8</v>
      </c>
    </row>
    <row r="9" spans="1:18" x14ac:dyDescent="0.35">
      <c r="A9" s="42" t="s">
        <v>12</v>
      </c>
      <c r="B9" s="43" t="s">
        <v>13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</row>
    <row r="10" spans="1:18" x14ac:dyDescent="0.35">
      <c r="A10" s="42" t="s">
        <v>14</v>
      </c>
      <c r="B10" s="43" t="s">
        <v>13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</row>
    <row r="11" spans="1:18" x14ac:dyDescent="0.35">
      <c r="A11" s="42" t="s">
        <v>15</v>
      </c>
      <c r="B11" s="43" t="s">
        <v>13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</row>
    <row r="12" spans="1:18" x14ac:dyDescent="0.35">
      <c r="A12" s="42" t="s">
        <v>16</v>
      </c>
      <c r="B12" s="43" t="s">
        <v>13</v>
      </c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</row>
  </sheetData>
  <mergeCells count="13">
    <mergeCell ref="C6:J6"/>
    <mergeCell ref="K6:R6"/>
    <mergeCell ref="C7:J7"/>
    <mergeCell ref="K7:R7"/>
    <mergeCell ref="A2:B2"/>
    <mergeCell ref="A3:B3"/>
    <mergeCell ref="C3:J3"/>
    <mergeCell ref="K3:R3"/>
    <mergeCell ref="C5:J5"/>
    <mergeCell ref="K5:R5"/>
    <mergeCell ref="C4:J4"/>
    <mergeCell ref="K4:R4"/>
    <mergeCell ref="C2:R2"/>
  </mergeCells>
  <pageMargins left="0.7" right="0.7" top="0.75" bottom="0.75" header="0.3" footer="0.3"/>
  <pageSetup scale="12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FAC60-62E3-4A07-9604-C5CDE923C6ED}">
  <dimension ref="A2:J27"/>
  <sheetViews>
    <sheetView topLeftCell="A6" workbookViewId="0">
      <selection activeCell="T13" sqref="T13"/>
    </sheetView>
  </sheetViews>
  <sheetFormatPr defaultRowHeight="14.5" x14ac:dyDescent="0.35"/>
  <cols>
    <col min="1" max="1" width="12.81640625" customWidth="1"/>
    <col min="2" max="2" width="4.453125" customWidth="1"/>
    <col min="3" max="10" width="13" customWidth="1"/>
  </cols>
  <sheetData>
    <row r="2" spans="1:10" x14ac:dyDescent="0.35">
      <c r="A2" s="77" t="s">
        <v>17</v>
      </c>
      <c r="B2" s="78"/>
      <c r="C2" s="78"/>
      <c r="D2" s="78"/>
      <c r="E2" s="78"/>
      <c r="F2" s="78"/>
      <c r="G2" s="78"/>
      <c r="H2" s="78"/>
      <c r="I2" s="78"/>
      <c r="J2" s="79"/>
    </row>
    <row r="3" spans="1:10" x14ac:dyDescent="0.35">
      <c r="A3" s="80"/>
      <c r="B3" s="81"/>
      <c r="C3" s="81"/>
      <c r="D3" s="81"/>
      <c r="E3" s="81"/>
      <c r="F3" s="81"/>
      <c r="G3" s="81"/>
      <c r="H3" s="81"/>
      <c r="I3" s="81"/>
      <c r="J3" s="82"/>
    </row>
    <row r="6" spans="1:10" ht="21" customHeight="1" x14ac:dyDescent="0.35">
      <c r="A6" s="72" t="s">
        <v>1</v>
      </c>
      <c r="B6" s="73"/>
      <c r="C6" s="67">
        <v>1</v>
      </c>
      <c r="D6" s="69"/>
      <c r="E6" s="67">
        <v>2</v>
      </c>
      <c r="F6" s="69"/>
      <c r="G6" s="67">
        <v>3</v>
      </c>
      <c r="H6" s="69"/>
      <c r="I6" s="67">
        <v>4</v>
      </c>
      <c r="J6" s="69"/>
    </row>
    <row r="7" spans="1:10" ht="21" customHeight="1" x14ac:dyDescent="0.35">
      <c r="A7" s="72" t="s">
        <v>18</v>
      </c>
      <c r="B7" s="73"/>
      <c r="C7" s="67" t="s">
        <v>19</v>
      </c>
      <c r="D7" s="69"/>
      <c r="E7" s="67" t="s">
        <v>20</v>
      </c>
      <c r="F7" s="69"/>
      <c r="G7" s="67" t="s">
        <v>19</v>
      </c>
      <c r="H7" s="69"/>
      <c r="I7" s="67" t="s">
        <v>20</v>
      </c>
      <c r="J7" s="69"/>
    </row>
    <row r="8" spans="1:10" ht="21" customHeight="1" x14ac:dyDescent="0.35">
      <c r="A8" s="72" t="s">
        <v>21</v>
      </c>
      <c r="B8" s="73"/>
      <c r="C8" s="6">
        <v>361</v>
      </c>
      <c r="D8" s="6">
        <v>730</v>
      </c>
      <c r="E8" s="6">
        <v>361</v>
      </c>
      <c r="F8" s="6">
        <v>730</v>
      </c>
      <c r="G8" s="6">
        <v>361</v>
      </c>
      <c r="H8" s="6">
        <v>730</v>
      </c>
      <c r="I8" s="6">
        <v>361</v>
      </c>
      <c r="J8" s="6">
        <v>730</v>
      </c>
    </row>
    <row r="9" spans="1:10" ht="21" customHeight="1" x14ac:dyDescent="0.35">
      <c r="A9" s="75" t="s">
        <v>22</v>
      </c>
      <c r="B9" s="76"/>
      <c r="C9" s="11"/>
      <c r="D9" s="11"/>
      <c r="E9" s="11"/>
      <c r="F9" s="11"/>
      <c r="G9" s="11"/>
      <c r="H9" s="11"/>
      <c r="I9" s="11"/>
      <c r="J9" s="11"/>
    </row>
    <row r="10" spans="1:10" ht="21" customHeight="1" x14ac:dyDescent="0.35">
      <c r="A10" s="9" t="s">
        <v>23</v>
      </c>
      <c r="B10" s="7">
        <v>0</v>
      </c>
      <c r="C10" s="5"/>
      <c r="D10" s="5"/>
      <c r="E10" s="5"/>
      <c r="F10" s="5"/>
      <c r="G10" s="5"/>
      <c r="H10" s="5"/>
      <c r="I10" s="5"/>
      <c r="J10" s="5"/>
    </row>
    <row r="11" spans="1:10" ht="21" customHeight="1" x14ac:dyDescent="0.35">
      <c r="A11" s="9" t="s">
        <v>24</v>
      </c>
      <c r="B11" s="7">
        <v>0</v>
      </c>
      <c r="C11" s="5"/>
      <c r="D11" s="5"/>
      <c r="E11" s="5"/>
      <c r="F11" s="5"/>
      <c r="G11" s="5"/>
      <c r="H11" s="5"/>
      <c r="I11" s="5"/>
      <c r="J11" s="5"/>
    </row>
    <row r="12" spans="1:10" ht="21" customHeight="1" x14ac:dyDescent="0.35">
      <c r="A12" s="10" t="s">
        <v>12</v>
      </c>
      <c r="B12" s="8" t="s">
        <v>13</v>
      </c>
      <c r="C12" s="5"/>
      <c r="D12" s="5"/>
      <c r="E12" s="5"/>
      <c r="F12" s="5"/>
      <c r="G12" s="5"/>
      <c r="H12" s="5"/>
      <c r="I12" s="5"/>
      <c r="J12" s="5"/>
    </row>
    <row r="13" spans="1:10" ht="21" customHeight="1" x14ac:dyDescent="0.35">
      <c r="A13" s="10" t="s">
        <v>25</v>
      </c>
      <c r="B13" s="8" t="s">
        <v>13</v>
      </c>
      <c r="C13" s="5"/>
      <c r="D13" s="5"/>
      <c r="E13" s="5"/>
      <c r="F13" s="5"/>
      <c r="G13" s="5"/>
      <c r="H13" s="5"/>
      <c r="I13" s="5"/>
      <c r="J13" s="5"/>
    </row>
    <row r="14" spans="1:10" ht="21" customHeight="1" x14ac:dyDescent="0.35">
      <c r="A14" s="10" t="s">
        <v>26</v>
      </c>
      <c r="B14" s="8" t="s">
        <v>13</v>
      </c>
      <c r="C14" s="5"/>
      <c r="D14" s="5"/>
      <c r="E14" s="5"/>
      <c r="F14" s="5"/>
      <c r="G14" s="5"/>
      <c r="H14" s="5"/>
      <c r="I14" s="5"/>
      <c r="J14" s="5"/>
    </row>
    <row r="15" spans="1:10" ht="21" customHeight="1" x14ac:dyDescent="0.35">
      <c r="A15" s="10" t="s">
        <v>16</v>
      </c>
      <c r="B15" s="8" t="s">
        <v>13</v>
      </c>
      <c r="C15" s="5"/>
      <c r="D15" s="5"/>
      <c r="E15" s="5"/>
      <c r="F15" s="5"/>
      <c r="G15" s="5"/>
      <c r="H15" s="5"/>
      <c r="I15" s="5"/>
      <c r="J15" s="5"/>
    </row>
    <row r="16" spans="1:10" ht="20.149999999999999" customHeight="1" x14ac:dyDescent="0.35"/>
    <row r="17" spans="1:10" ht="20.149999999999999" customHeight="1" x14ac:dyDescent="0.35"/>
    <row r="18" spans="1:10" ht="21" customHeight="1" x14ac:dyDescent="0.35">
      <c r="A18" s="72" t="s">
        <v>1</v>
      </c>
      <c r="B18" s="73"/>
      <c r="C18" s="67">
        <v>1</v>
      </c>
      <c r="D18" s="69"/>
      <c r="E18" s="67">
        <v>2</v>
      </c>
      <c r="F18" s="69"/>
      <c r="G18" s="67">
        <v>3</v>
      </c>
      <c r="H18" s="69"/>
      <c r="I18" s="67">
        <v>4</v>
      </c>
      <c r="J18" s="69"/>
    </row>
    <row r="19" spans="1:10" ht="21" customHeight="1" x14ac:dyDescent="0.35">
      <c r="A19" s="72" t="s">
        <v>18</v>
      </c>
      <c r="B19" s="73"/>
      <c r="C19" s="67"/>
      <c r="D19" s="69"/>
      <c r="E19" s="67"/>
      <c r="F19" s="69"/>
      <c r="G19" s="67"/>
      <c r="H19" s="69"/>
      <c r="I19" s="67"/>
      <c r="J19" s="69"/>
    </row>
    <row r="20" spans="1:10" ht="21" customHeight="1" x14ac:dyDescent="0.35">
      <c r="A20" s="72" t="s">
        <v>21</v>
      </c>
      <c r="B20" s="73"/>
      <c r="C20" s="6"/>
      <c r="D20" s="6"/>
      <c r="E20" s="6"/>
      <c r="F20" s="6"/>
      <c r="G20" s="6"/>
      <c r="H20" s="6"/>
      <c r="I20" s="6"/>
      <c r="J20" s="6"/>
    </row>
    <row r="21" spans="1:10" ht="21" customHeight="1" x14ac:dyDescent="0.35">
      <c r="A21" s="75" t="s">
        <v>22</v>
      </c>
      <c r="B21" s="76"/>
      <c r="C21" s="11"/>
      <c r="D21" s="11"/>
      <c r="E21" s="11"/>
      <c r="F21" s="11"/>
      <c r="G21" s="11"/>
      <c r="H21" s="11"/>
      <c r="I21" s="11"/>
      <c r="J21" s="11"/>
    </row>
    <row r="22" spans="1:10" ht="21" customHeight="1" x14ac:dyDescent="0.35">
      <c r="A22" s="9" t="s">
        <v>23</v>
      </c>
      <c r="B22" s="7">
        <v>0</v>
      </c>
      <c r="C22" s="5"/>
      <c r="D22" s="5"/>
      <c r="E22" s="5"/>
      <c r="F22" s="5"/>
      <c r="G22" s="5"/>
      <c r="H22" s="5"/>
      <c r="I22" s="5"/>
      <c r="J22" s="5"/>
    </row>
    <row r="23" spans="1:10" ht="21" customHeight="1" x14ac:dyDescent="0.35">
      <c r="A23" s="9" t="s">
        <v>24</v>
      </c>
      <c r="B23" s="7">
        <v>0</v>
      </c>
      <c r="C23" s="5"/>
      <c r="D23" s="5"/>
      <c r="E23" s="5"/>
      <c r="F23" s="5"/>
      <c r="G23" s="5"/>
      <c r="H23" s="5"/>
      <c r="I23" s="5"/>
      <c r="J23" s="5"/>
    </row>
    <row r="24" spans="1:10" ht="21" customHeight="1" x14ac:dyDescent="0.35">
      <c r="A24" s="10" t="s">
        <v>12</v>
      </c>
      <c r="B24" s="8" t="s">
        <v>13</v>
      </c>
      <c r="C24" s="5"/>
      <c r="D24" s="5"/>
      <c r="E24" s="5"/>
      <c r="F24" s="5"/>
      <c r="G24" s="5"/>
      <c r="H24" s="5"/>
      <c r="I24" s="5"/>
      <c r="J24" s="5"/>
    </row>
    <row r="25" spans="1:10" ht="21" customHeight="1" x14ac:dyDescent="0.35">
      <c r="A25" s="10" t="s">
        <v>25</v>
      </c>
      <c r="B25" s="8" t="s">
        <v>13</v>
      </c>
      <c r="C25" s="5"/>
      <c r="D25" s="5"/>
      <c r="E25" s="5"/>
      <c r="F25" s="5"/>
      <c r="G25" s="5"/>
      <c r="H25" s="5"/>
      <c r="I25" s="5"/>
      <c r="J25" s="5"/>
    </row>
    <row r="26" spans="1:10" ht="21" customHeight="1" x14ac:dyDescent="0.35">
      <c r="A26" s="10" t="s">
        <v>26</v>
      </c>
      <c r="B26" s="8" t="s">
        <v>13</v>
      </c>
      <c r="C26" s="5"/>
      <c r="D26" s="5"/>
      <c r="E26" s="5"/>
      <c r="F26" s="5"/>
      <c r="G26" s="5"/>
      <c r="H26" s="5"/>
      <c r="I26" s="5"/>
      <c r="J26" s="5"/>
    </row>
    <row r="27" spans="1:10" ht="21" customHeight="1" x14ac:dyDescent="0.35">
      <c r="A27" s="10" t="s">
        <v>16</v>
      </c>
      <c r="B27" s="8" t="s">
        <v>13</v>
      </c>
      <c r="C27" s="5"/>
      <c r="D27" s="5"/>
      <c r="E27" s="5"/>
      <c r="F27" s="5"/>
      <c r="G27" s="5"/>
      <c r="H27" s="5"/>
      <c r="I27" s="5"/>
      <c r="J27" s="5"/>
    </row>
  </sheetData>
  <mergeCells count="25">
    <mergeCell ref="A20:B20"/>
    <mergeCell ref="A21:B21"/>
    <mergeCell ref="A19:B19"/>
    <mergeCell ref="C19:D19"/>
    <mergeCell ref="E19:F19"/>
    <mergeCell ref="G19:H19"/>
    <mergeCell ref="I19:J19"/>
    <mergeCell ref="A18:B18"/>
    <mergeCell ref="C18:D18"/>
    <mergeCell ref="E18:F18"/>
    <mergeCell ref="G18:H18"/>
    <mergeCell ref="I18:J18"/>
    <mergeCell ref="A2:J3"/>
    <mergeCell ref="E6:F6"/>
    <mergeCell ref="G6:H6"/>
    <mergeCell ref="I6:J6"/>
    <mergeCell ref="E7:F7"/>
    <mergeCell ref="G7:H7"/>
    <mergeCell ref="I7:J7"/>
    <mergeCell ref="A7:B7"/>
    <mergeCell ref="A8:B8"/>
    <mergeCell ref="A9:B9"/>
    <mergeCell ref="C6:D6"/>
    <mergeCell ref="C7:D7"/>
    <mergeCell ref="A6:B6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5246-4D83-4BC4-8C38-BA4B75BC3B1F}">
  <dimension ref="A1:O52"/>
  <sheetViews>
    <sheetView tabSelected="1" topLeftCell="A28" zoomScaleNormal="100" workbookViewId="0">
      <selection activeCell="F38" sqref="F38"/>
    </sheetView>
  </sheetViews>
  <sheetFormatPr defaultRowHeight="14.5" x14ac:dyDescent="0.35"/>
  <cols>
    <col min="2" max="2" width="13.1796875" customWidth="1"/>
    <col min="3" max="3" width="6.26953125" customWidth="1"/>
    <col min="4" max="4" width="27.1796875" customWidth="1"/>
    <col min="5" max="5" width="9.26953125" customWidth="1"/>
    <col min="6" max="6" width="14" customWidth="1"/>
    <col min="7" max="7" width="13.453125" customWidth="1"/>
    <col min="8" max="9" width="8.1796875" customWidth="1"/>
    <col min="10" max="10" width="13.453125" customWidth="1"/>
    <col min="12" max="15" width="15.54296875" customWidth="1"/>
  </cols>
  <sheetData>
    <row r="1" spans="1:15" x14ac:dyDescent="0.35">
      <c r="A1" s="91">
        <v>46002</v>
      </c>
      <c r="B1" s="92"/>
      <c r="C1" s="93" t="s">
        <v>27</v>
      </c>
      <c r="D1" s="93"/>
      <c r="E1" s="93"/>
      <c r="F1" s="93"/>
      <c r="G1" s="93"/>
      <c r="H1" s="93"/>
      <c r="I1" s="93"/>
      <c r="J1" s="93"/>
    </row>
    <row r="2" spans="1:15" x14ac:dyDescent="0.35">
      <c r="A2" s="13" t="s">
        <v>28</v>
      </c>
      <c r="B2" s="13" t="s">
        <v>29</v>
      </c>
      <c r="C2" s="13" t="s">
        <v>30</v>
      </c>
      <c r="D2" s="13" t="s">
        <v>31</v>
      </c>
      <c r="E2" s="13" t="s">
        <v>32</v>
      </c>
      <c r="F2" s="13" t="s">
        <v>33</v>
      </c>
      <c r="G2" s="20" t="s">
        <v>34</v>
      </c>
      <c r="H2" s="20" t="s">
        <v>35</v>
      </c>
      <c r="I2" s="20" t="s">
        <v>36</v>
      </c>
      <c r="J2" s="19" t="s">
        <v>37</v>
      </c>
      <c r="K2" s="2"/>
    </row>
    <row r="3" spans="1:15" x14ac:dyDescent="0.35">
      <c r="A3" s="83">
        <v>361</v>
      </c>
      <c r="B3" s="95" t="s">
        <v>38</v>
      </c>
      <c r="C3" s="88">
        <v>1017</v>
      </c>
      <c r="D3" s="88" t="s">
        <v>39</v>
      </c>
      <c r="E3" s="88" t="s">
        <v>40</v>
      </c>
      <c r="F3" s="12" t="s">
        <v>41</v>
      </c>
      <c r="G3" s="17">
        <v>46002</v>
      </c>
      <c r="H3" s="18">
        <v>0.52430555555555558</v>
      </c>
      <c r="I3" s="18">
        <v>0.54236111111111107</v>
      </c>
      <c r="J3" s="17">
        <v>45921</v>
      </c>
      <c r="K3" s="3"/>
    </row>
    <row r="4" spans="1:15" x14ac:dyDescent="0.35">
      <c r="A4" s="84"/>
      <c r="B4" s="95"/>
      <c r="C4" s="88"/>
      <c r="D4" s="88"/>
      <c r="E4" s="88"/>
      <c r="F4" s="12" t="s">
        <v>42</v>
      </c>
      <c r="G4" s="17">
        <v>46002</v>
      </c>
      <c r="H4" s="18">
        <v>0.57291666666666663</v>
      </c>
      <c r="I4" s="18">
        <v>0.58888888888888891</v>
      </c>
      <c r="J4" s="17">
        <v>45921</v>
      </c>
      <c r="K4" s="3">
        <v>730</v>
      </c>
      <c r="L4" s="12" t="s">
        <v>43</v>
      </c>
      <c r="M4" s="12" t="s">
        <v>44</v>
      </c>
      <c r="N4" s="12" t="s">
        <v>45</v>
      </c>
      <c r="O4" s="12" t="s">
        <v>46</v>
      </c>
    </row>
    <row r="5" spans="1:15" x14ac:dyDescent="0.35">
      <c r="A5" s="84"/>
      <c r="B5" s="95" t="s">
        <v>47</v>
      </c>
      <c r="C5" s="88">
        <v>1018</v>
      </c>
      <c r="D5" s="88" t="s">
        <v>48</v>
      </c>
      <c r="E5" s="88" t="s">
        <v>40</v>
      </c>
      <c r="F5" s="32" t="s">
        <v>41</v>
      </c>
      <c r="G5" s="33">
        <v>46002</v>
      </c>
      <c r="H5" s="34">
        <v>0.49652777777777779</v>
      </c>
      <c r="I5" s="34">
        <v>0.51736111111111116</v>
      </c>
      <c r="J5" s="33">
        <v>45921</v>
      </c>
      <c r="K5" s="4">
        <v>361</v>
      </c>
      <c r="L5" s="32" t="s">
        <v>41</v>
      </c>
      <c r="M5" s="12" t="s">
        <v>41</v>
      </c>
      <c r="N5" s="12" t="s">
        <v>49</v>
      </c>
      <c r="O5" s="12" t="s">
        <v>42</v>
      </c>
    </row>
    <row r="6" spans="1:15" x14ac:dyDescent="0.35">
      <c r="A6" s="85"/>
      <c r="B6" s="95"/>
      <c r="C6" s="88"/>
      <c r="D6" s="88"/>
      <c r="E6" s="88"/>
      <c r="F6" s="12" t="s">
        <v>49</v>
      </c>
      <c r="G6" s="17">
        <v>46002</v>
      </c>
      <c r="H6" s="18">
        <v>0.54305555555555551</v>
      </c>
      <c r="I6" s="18">
        <v>0.56944444444444442</v>
      </c>
      <c r="J6" s="17">
        <v>45921</v>
      </c>
      <c r="K6" s="2"/>
    </row>
    <row r="7" spans="1:15" x14ac:dyDescent="0.35">
      <c r="A7" s="83">
        <v>730</v>
      </c>
      <c r="B7" s="95" t="s">
        <v>38</v>
      </c>
      <c r="C7" s="88">
        <v>1008</v>
      </c>
      <c r="D7" s="88" t="s">
        <v>50</v>
      </c>
      <c r="E7" s="88" t="s">
        <v>40</v>
      </c>
      <c r="F7" s="12" t="s">
        <v>44</v>
      </c>
      <c r="G7" s="17">
        <v>46002</v>
      </c>
      <c r="H7" s="18">
        <v>0.52430555555555558</v>
      </c>
      <c r="I7" s="18">
        <v>0.54236111111111107</v>
      </c>
      <c r="J7" s="17">
        <v>45880</v>
      </c>
      <c r="K7" s="3"/>
    </row>
    <row r="8" spans="1:15" x14ac:dyDescent="0.35">
      <c r="A8" s="84"/>
      <c r="B8" s="95"/>
      <c r="C8" s="88"/>
      <c r="D8" s="88"/>
      <c r="E8" s="88"/>
      <c r="F8" s="12" t="s">
        <v>46</v>
      </c>
      <c r="G8" s="17">
        <v>46002</v>
      </c>
      <c r="H8" s="18">
        <v>0.57291666666666663</v>
      </c>
      <c r="I8" s="18">
        <v>0.58888888888888891</v>
      </c>
      <c r="J8" s="17">
        <v>45880</v>
      </c>
      <c r="K8" s="1"/>
    </row>
    <row r="9" spans="1:15" x14ac:dyDescent="0.35">
      <c r="A9" s="84"/>
      <c r="B9" s="95" t="s">
        <v>47</v>
      </c>
      <c r="C9" s="88">
        <v>1009</v>
      </c>
      <c r="D9" s="88" t="s">
        <v>51</v>
      </c>
      <c r="E9" s="88" t="s">
        <v>40</v>
      </c>
      <c r="F9" s="12" t="s">
        <v>43</v>
      </c>
      <c r="G9" s="17">
        <v>46002</v>
      </c>
      <c r="H9" s="18">
        <v>0.49652777777777779</v>
      </c>
      <c r="I9" s="18">
        <v>0.51736111111111116</v>
      </c>
      <c r="J9" s="17">
        <v>45880</v>
      </c>
    </row>
    <row r="10" spans="1:15" x14ac:dyDescent="0.35">
      <c r="A10" s="85"/>
      <c r="B10" s="95"/>
      <c r="C10" s="88"/>
      <c r="D10" s="88"/>
      <c r="E10" s="88"/>
      <c r="F10" s="12" t="s">
        <v>45</v>
      </c>
      <c r="G10" s="17">
        <v>46002</v>
      </c>
      <c r="H10" s="18">
        <v>0.54305555555555551</v>
      </c>
      <c r="I10" s="18">
        <v>0.56944444444444442</v>
      </c>
      <c r="J10" s="17">
        <v>45880</v>
      </c>
    </row>
    <row r="13" spans="1:15" x14ac:dyDescent="0.35">
      <c r="A13" s="91">
        <v>46006</v>
      </c>
      <c r="B13" s="92"/>
      <c r="C13" s="93" t="s">
        <v>52</v>
      </c>
      <c r="D13" s="93"/>
      <c r="E13" s="93"/>
      <c r="F13" s="93"/>
      <c r="G13" s="93"/>
      <c r="H13" s="93"/>
      <c r="I13" s="93"/>
      <c r="J13" s="93"/>
    </row>
    <row r="14" spans="1:15" x14ac:dyDescent="0.35">
      <c r="A14" s="13" t="s">
        <v>28</v>
      </c>
      <c r="B14" s="13" t="s">
        <v>29</v>
      </c>
      <c r="C14" s="13" t="s">
        <v>30</v>
      </c>
      <c r="D14" s="13" t="s">
        <v>31</v>
      </c>
      <c r="E14" s="13" t="s">
        <v>32</v>
      </c>
      <c r="F14" s="13" t="s">
        <v>33</v>
      </c>
      <c r="G14" s="20" t="s">
        <v>34</v>
      </c>
      <c r="H14" s="20" t="s">
        <v>35</v>
      </c>
      <c r="I14" s="20" t="s">
        <v>36</v>
      </c>
      <c r="J14" s="19" t="s">
        <v>37</v>
      </c>
    </row>
    <row r="15" spans="1:15" x14ac:dyDescent="0.35">
      <c r="A15" s="96">
        <v>361</v>
      </c>
      <c r="B15" s="95" t="s">
        <v>53</v>
      </c>
      <c r="C15" s="88">
        <v>1018</v>
      </c>
      <c r="D15" s="88" t="s">
        <v>48</v>
      </c>
      <c r="E15" s="88" t="s">
        <v>40</v>
      </c>
      <c r="F15" s="32" t="s">
        <v>41</v>
      </c>
      <c r="G15" s="33">
        <v>46006</v>
      </c>
      <c r="H15" s="34">
        <v>0.65625</v>
      </c>
      <c r="I15" s="34">
        <v>0.67708333333333337</v>
      </c>
      <c r="J15" s="33">
        <v>45918</v>
      </c>
    </row>
    <row r="16" spans="1:15" ht="14.5" customHeight="1" x14ac:dyDescent="0.35">
      <c r="A16" s="96"/>
      <c r="B16" s="95"/>
      <c r="C16" s="88"/>
      <c r="D16" s="88"/>
      <c r="E16" s="88"/>
      <c r="F16" s="12"/>
      <c r="G16" s="17"/>
      <c r="H16" s="18"/>
      <c r="I16" s="18"/>
      <c r="J16" s="17"/>
    </row>
    <row r="17" spans="1:12" ht="14.5" customHeight="1" x14ac:dyDescent="0.35">
      <c r="A17" s="96">
        <v>307</v>
      </c>
      <c r="B17" s="86" t="s">
        <v>54</v>
      </c>
      <c r="C17" s="89">
        <v>1017</v>
      </c>
      <c r="D17" s="89" t="s">
        <v>55</v>
      </c>
      <c r="E17" s="88" t="s">
        <v>40</v>
      </c>
      <c r="F17" s="12" t="s">
        <v>56</v>
      </c>
      <c r="G17" s="17">
        <v>46006</v>
      </c>
      <c r="H17" s="18">
        <v>0.65625</v>
      </c>
      <c r="I17" s="18">
        <v>0.67708333333333337</v>
      </c>
      <c r="J17" s="17">
        <v>45918</v>
      </c>
    </row>
    <row r="18" spans="1:12" x14ac:dyDescent="0.35">
      <c r="A18" s="96"/>
      <c r="B18" s="87"/>
      <c r="C18" s="90"/>
      <c r="D18" s="90"/>
      <c r="E18" s="88"/>
      <c r="F18" s="12"/>
      <c r="G18" s="17"/>
      <c r="H18" s="18"/>
      <c r="I18" s="18"/>
      <c r="J18" s="17"/>
    </row>
    <row r="21" spans="1:12" x14ac:dyDescent="0.35">
      <c r="A21" s="91"/>
      <c r="B21" s="92"/>
      <c r="C21" s="93" t="s">
        <v>52</v>
      </c>
      <c r="D21" s="93"/>
      <c r="E21" s="93"/>
      <c r="F21" s="93"/>
      <c r="G21" s="93"/>
      <c r="H21" s="93"/>
      <c r="I21" s="93"/>
      <c r="J21" s="93"/>
    </row>
    <row r="22" spans="1:12" x14ac:dyDescent="0.35">
      <c r="A22" s="13" t="s">
        <v>28</v>
      </c>
      <c r="B22" s="13" t="s">
        <v>29</v>
      </c>
      <c r="C22" s="13" t="s">
        <v>30</v>
      </c>
      <c r="D22" s="13" t="s">
        <v>31</v>
      </c>
      <c r="E22" s="13" t="s">
        <v>32</v>
      </c>
      <c r="F22" s="13" t="s">
        <v>33</v>
      </c>
      <c r="G22" s="20" t="s">
        <v>34</v>
      </c>
      <c r="H22" s="20" t="s">
        <v>35</v>
      </c>
      <c r="I22" s="20" t="s">
        <v>36</v>
      </c>
      <c r="J22" s="19" t="s">
        <v>37</v>
      </c>
    </row>
    <row r="23" spans="1:12" x14ac:dyDescent="0.35">
      <c r="A23" s="83">
        <v>361</v>
      </c>
      <c r="B23" s="94" t="s">
        <v>57</v>
      </c>
      <c r="C23" s="88">
        <v>1007</v>
      </c>
      <c r="D23" s="89" t="s">
        <v>58</v>
      </c>
      <c r="E23" s="88" t="s">
        <v>40</v>
      </c>
      <c r="F23" s="12" t="s">
        <v>59</v>
      </c>
      <c r="G23" s="17">
        <v>46009</v>
      </c>
      <c r="H23" s="18">
        <v>0.77430555555555558</v>
      </c>
      <c r="I23" s="18">
        <v>0.79166666666666663</v>
      </c>
      <c r="J23" s="17"/>
    </row>
    <row r="24" spans="1:12" x14ac:dyDescent="0.35">
      <c r="A24" s="84"/>
      <c r="B24" s="95"/>
      <c r="C24" s="88"/>
      <c r="D24" s="90"/>
      <c r="E24" s="88"/>
      <c r="F24" s="12" t="s">
        <v>60</v>
      </c>
      <c r="G24" s="17">
        <v>46009</v>
      </c>
      <c r="H24" s="18">
        <v>0.79236111111111107</v>
      </c>
      <c r="I24" s="18">
        <v>0.80833333333333335</v>
      </c>
      <c r="J24" s="17"/>
    </row>
    <row r="25" spans="1:12" x14ac:dyDescent="0.35">
      <c r="A25" s="84"/>
      <c r="B25" s="86"/>
      <c r="C25" s="97">
        <v>1008</v>
      </c>
      <c r="D25" s="98" t="s">
        <v>61</v>
      </c>
      <c r="E25" s="97" t="s">
        <v>40</v>
      </c>
      <c r="F25" s="12"/>
      <c r="G25" s="17"/>
      <c r="H25" s="18"/>
      <c r="I25" s="18"/>
      <c r="J25" s="17"/>
    </row>
    <row r="26" spans="1:12" x14ac:dyDescent="0.35">
      <c r="A26" s="85"/>
      <c r="B26" s="87"/>
      <c r="C26" s="97"/>
      <c r="D26" s="97"/>
      <c r="E26" s="97"/>
      <c r="F26" s="12"/>
      <c r="G26" s="17"/>
      <c r="H26" s="18"/>
      <c r="I26" s="18"/>
      <c r="J26" s="17"/>
    </row>
    <row r="27" spans="1:12" x14ac:dyDescent="0.35">
      <c r="A27" s="83">
        <v>307</v>
      </c>
      <c r="B27" s="86" t="s">
        <v>62</v>
      </c>
      <c r="C27" s="88">
        <v>1013</v>
      </c>
      <c r="D27" s="89" t="s">
        <v>63</v>
      </c>
      <c r="E27" s="88" t="s">
        <v>64</v>
      </c>
      <c r="F27" s="12" t="s">
        <v>65</v>
      </c>
      <c r="G27" s="17">
        <v>46009</v>
      </c>
      <c r="H27" s="18">
        <v>0.77430555555555558</v>
      </c>
      <c r="I27" s="18">
        <v>0.79166666666666663</v>
      </c>
      <c r="J27" s="17"/>
    </row>
    <row r="28" spans="1:12" x14ac:dyDescent="0.35">
      <c r="A28" s="84"/>
      <c r="B28" s="87"/>
      <c r="C28" s="88"/>
      <c r="D28" s="90"/>
      <c r="E28" s="88"/>
      <c r="F28" s="12" t="s">
        <v>66</v>
      </c>
      <c r="G28" s="17">
        <v>46009</v>
      </c>
      <c r="H28" s="18">
        <v>0.79236111111111107</v>
      </c>
      <c r="I28" s="18">
        <v>0.80833333333333335</v>
      </c>
      <c r="J28" s="17"/>
    </row>
    <row r="29" spans="1:12" x14ac:dyDescent="0.35">
      <c r="A29" s="84">
        <v>307</v>
      </c>
      <c r="B29" s="86"/>
      <c r="C29" s="99">
        <v>1016</v>
      </c>
      <c r="D29" s="101" t="s">
        <v>67</v>
      </c>
      <c r="E29" s="97" t="s">
        <v>64</v>
      </c>
      <c r="F29" s="12"/>
      <c r="G29" s="17"/>
      <c r="H29" s="18"/>
      <c r="I29" s="18"/>
      <c r="J29" s="17"/>
      <c r="K29">
        <v>307</v>
      </c>
      <c r="L29" t="s">
        <v>68</v>
      </c>
    </row>
    <row r="30" spans="1:12" x14ac:dyDescent="0.35">
      <c r="A30" s="85"/>
      <c r="B30" s="87"/>
      <c r="C30" s="100"/>
      <c r="D30" s="100"/>
      <c r="E30" s="97"/>
      <c r="F30" s="12"/>
      <c r="G30" s="17"/>
      <c r="H30" s="18"/>
      <c r="I30" s="18"/>
      <c r="J30" s="17"/>
    </row>
    <row r="33" spans="1:10" x14ac:dyDescent="0.35">
      <c r="A33" s="91"/>
      <c r="B33" s="92"/>
      <c r="C33" s="93" t="s">
        <v>52</v>
      </c>
      <c r="D33" s="93"/>
      <c r="E33" s="93"/>
      <c r="F33" s="93"/>
      <c r="G33" s="93"/>
      <c r="H33" s="93"/>
      <c r="I33" s="93"/>
      <c r="J33" s="93"/>
    </row>
    <row r="34" spans="1:10" x14ac:dyDescent="0.35">
      <c r="A34" s="13" t="s">
        <v>28</v>
      </c>
      <c r="B34" s="13" t="s">
        <v>29</v>
      </c>
      <c r="C34" s="13" t="s">
        <v>30</v>
      </c>
      <c r="D34" s="13" t="s">
        <v>31</v>
      </c>
      <c r="E34" s="13" t="s">
        <v>32</v>
      </c>
      <c r="F34" s="13" t="s">
        <v>33</v>
      </c>
      <c r="G34" s="20" t="s">
        <v>34</v>
      </c>
      <c r="H34" s="20" t="s">
        <v>35</v>
      </c>
      <c r="I34" s="20" t="s">
        <v>36</v>
      </c>
      <c r="J34" s="19" t="s">
        <v>37</v>
      </c>
    </row>
    <row r="35" spans="1:10" x14ac:dyDescent="0.35">
      <c r="A35" s="83">
        <v>361</v>
      </c>
      <c r="B35" s="94" t="s">
        <v>57</v>
      </c>
      <c r="C35" s="88">
        <v>1007</v>
      </c>
      <c r="D35" s="89" t="s">
        <v>58</v>
      </c>
      <c r="E35" s="88" t="s">
        <v>40</v>
      </c>
      <c r="F35" s="12" t="s">
        <v>59</v>
      </c>
      <c r="G35" s="17">
        <v>46009</v>
      </c>
      <c r="H35" s="18">
        <v>0.77430555555555558</v>
      </c>
      <c r="I35" s="18">
        <v>0.79166666666666663</v>
      </c>
      <c r="J35" s="17">
        <v>45944</v>
      </c>
    </row>
    <row r="36" spans="1:10" x14ac:dyDescent="0.35">
      <c r="A36" s="84"/>
      <c r="B36" s="95"/>
      <c r="C36" s="88"/>
      <c r="D36" s="90"/>
      <c r="E36" s="88"/>
      <c r="F36" s="12" t="s">
        <v>60</v>
      </c>
      <c r="G36" s="17">
        <v>46009</v>
      </c>
      <c r="H36" s="18">
        <v>0.79236111111111107</v>
      </c>
      <c r="I36" s="18">
        <v>0.80833333333333335</v>
      </c>
      <c r="J36" s="17">
        <v>45944</v>
      </c>
    </row>
    <row r="37" spans="1:10" x14ac:dyDescent="0.35">
      <c r="A37" s="84"/>
      <c r="B37" s="86" t="s">
        <v>69</v>
      </c>
      <c r="C37" s="88">
        <v>1008</v>
      </c>
      <c r="D37" s="89" t="s">
        <v>61</v>
      </c>
      <c r="E37" s="88" t="s">
        <v>40</v>
      </c>
      <c r="F37" s="12" t="s">
        <v>70</v>
      </c>
      <c r="G37" s="17">
        <v>46010</v>
      </c>
      <c r="H37" s="18">
        <v>0.6875</v>
      </c>
      <c r="I37" s="18">
        <v>0.70277777777777772</v>
      </c>
      <c r="J37" s="17">
        <v>45944</v>
      </c>
    </row>
    <row r="38" spans="1:10" x14ac:dyDescent="0.35">
      <c r="A38" s="85"/>
      <c r="B38" s="87"/>
      <c r="C38" s="88"/>
      <c r="D38" s="90"/>
      <c r="E38" s="88"/>
      <c r="F38" s="12" t="s">
        <v>71</v>
      </c>
      <c r="G38" s="17">
        <v>46010</v>
      </c>
      <c r="H38" s="18">
        <v>0.70277777777777772</v>
      </c>
      <c r="I38" s="18">
        <v>0.71875</v>
      </c>
      <c r="J38" s="17">
        <v>45944</v>
      </c>
    </row>
    <row r="39" spans="1:10" x14ac:dyDescent="0.35">
      <c r="A39" s="83">
        <v>307</v>
      </c>
      <c r="B39" s="86" t="s">
        <v>62</v>
      </c>
      <c r="C39" s="88">
        <v>1013</v>
      </c>
      <c r="D39" s="89" t="s">
        <v>63</v>
      </c>
      <c r="E39" s="88" t="s">
        <v>40</v>
      </c>
      <c r="F39" s="12" t="s">
        <v>65</v>
      </c>
      <c r="G39" s="17">
        <v>46009</v>
      </c>
      <c r="H39" s="18">
        <v>0.77430555555555558</v>
      </c>
      <c r="I39" s="18">
        <v>0.79166666666666663</v>
      </c>
      <c r="J39" s="17">
        <v>45917</v>
      </c>
    </row>
    <row r="40" spans="1:10" x14ac:dyDescent="0.35">
      <c r="A40" s="84"/>
      <c r="B40" s="87"/>
      <c r="C40" s="88"/>
      <c r="D40" s="90"/>
      <c r="E40" s="88"/>
      <c r="F40" s="12" t="s">
        <v>66</v>
      </c>
      <c r="G40" s="17">
        <v>46009</v>
      </c>
      <c r="H40" s="18">
        <v>0.79236111111111107</v>
      </c>
      <c r="I40" s="18">
        <v>0.80833333333333335</v>
      </c>
      <c r="J40" s="17">
        <v>45917</v>
      </c>
    </row>
    <row r="41" spans="1:10" x14ac:dyDescent="0.35">
      <c r="A41" s="84">
        <v>307</v>
      </c>
      <c r="B41" s="86" t="s">
        <v>72</v>
      </c>
      <c r="C41" s="88">
        <v>1012</v>
      </c>
      <c r="D41" s="89" t="s">
        <v>68</v>
      </c>
      <c r="E41" s="88" t="s">
        <v>40</v>
      </c>
      <c r="F41" s="12" t="s">
        <v>73</v>
      </c>
      <c r="G41" s="17">
        <v>46010</v>
      </c>
      <c r="H41" s="18">
        <v>0.6875</v>
      </c>
      <c r="I41" s="18">
        <v>0.70277777777777772</v>
      </c>
      <c r="J41" s="17">
        <v>45917</v>
      </c>
    </row>
    <row r="42" spans="1:10" x14ac:dyDescent="0.35">
      <c r="A42" s="85"/>
      <c r="B42" s="87"/>
      <c r="C42" s="88"/>
      <c r="D42" s="90"/>
      <c r="E42" s="88"/>
      <c r="F42" s="12" t="s">
        <v>74</v>
      </c>
      <c r="G42" s="17">
        <v>46010</v>
      </c>
      <c r="H42" s="18">
        <v>0.70277777777777772</v>
      </c>
      <c r="I42" s="18">
        <v>0.71875</v>
      </c>
      <c r="J42" s="17">
        <v>45917</v>
      </c>
    </row>
    <row r="43" spans="1:10" x14ac:dyDescent="0.35">
      <c r="A43" s="91"/>
      <c r="B43" s="92"/>
      <c r="C43" s="93" t="s">
        <v>52</v>
      </c>
      <c r="D43" s="93"/>
      <c r="E43" s="93"/>
      <c r="F43" s="93"/>
      <c r="G43" s="93"/>
      <c r="H43" s="93"/>
      <c r="I43" s="93"/>
      <c r="J43" s="93"/>
    </row>
    <row r="44" spans="1:10" x14ac:dyDescent="0.35">
      <c r="A44" s="13" t="s">
        <v>28</v>
      </c>
      <c r="B44" s="13" t="s">
        <v>29</v>
      </c>
      <c r="C44" s="13" t="s">
        <v>30</v>
      </c>
      <c r="D44" s="13" t="s">
        <v>31</v>
      </c>
      <c r="E44" s="13" t="s">
        <v>32</v>
      </c>
      <c r="F44" s="13" t="s">
        <v>33</v>
      </c>
      <c r="G44" s="20" t="s">
        <v>34</v>
      </c>
      <c r="H44" s="20" t="s">
        <v>35</v>
      </c>
      <c r="I44" s="20" t="s">
        <v>36</v>
      </c>
      <c r="J44" s="19" t="s">
        <v>37</v>
      </c>
    </row>
    <row r="45" spans="1:10" x14ac:dyDescent="0.35">
      <c r="A45" s="83">
        <v>361</v>
      </c>
      <c r="B45" s="95"/>
      <c r="C45" s="97"/>
      <c r="D45" s="99" t="s">
        <v>75</v>
      </c>
      <c r="E45" s="97"/>
      <c r="F45" s="12"/>
      <c r="G45" s="17"/>
      <c r="H45" s="18"/>
      <c r="I45" s="18"/>
      <c r="J45" s="17"/>
    </row>
    <row r="46" spans="1:10" x14ac:dyDescent="0.35">
      <c r="A46" s="84"/>
      <c r="B46" s="95"/>
      <c r="C46" s="97"/>
      <c r="D46" s="100"/>
      <c r="E46" s="97"/>
      <c r="F46" s="12"/>
      <c r="G46" s="17"/>
      <c r="H46" s="18"/>
      <c r="I46" s="18"/>
      <c r="J46" s="17"/>
    </row>
    <row r="47" spans="1:10" x14ac:dyDescent="0.35">
      <c r="A47" s="84"/>
      <c r="B47" s="86"/>
      <c r="C47" s="99"/>
      <c r="D47" s="101" t="s">
        <v>76</v>
      </c>
      <c r="E47" s="97"/>
      <c r="F47" s="12"/>
      <c r="G47" s="17"/>
      <c r="H47" s="18"/>
      <c r="I47" s="18"/>
      <c r="J47" s="17"/>
    </row>
    <row r="48" spans="1:10" x14ac:dyDescent="0.35">
      <c r="A48" s="85"/>
      <c r="B48" s="87"/>
      <c r="C48" s="100"/>
      <c r="D48" s="100"/>
      <c r="E48" s="97"/>
      <c r="F48" s="12"/>
      <c r="G48" s="17"/>
      <c r="H48" s="18"/>
      <c r="I48" s="18"/>
      <c r="J48" s="17"/>
    </row>
    <row r="49" spans="1:10" x14ac:dyDescent="0.35">
      <c r="A49" s="83">
        <v>307</v>
      </c>
      <c r="B49" s="95"/>
      <c r="C49" s="97"/>
      <c r="D49" s="98" t="s">
        <v>77</v>
      </c>
      <c r="E49" s="97"/>
      <c r="F49" s="12"/>
      <c r="G49" s="17"/>
      <c r="H49" s="18"/>
      <c r="I49" s="18"/>
      <c r="J49" s="17"/>
    </row>
    <row r="50" spans="1:10" x14ac:dyDescent="0.35">
      <c r="A50" s="84"/>
      <c r="B50" s="95"/>
      <c r="C50" s="97"/>
      <c r="D50" s="97"/>
      <c r="E50" s="97"/>
      <c r="F50" s="12"/>
      <c r="G50" s="17"/>
      <c r="H50" s="18"/>
      <c r="I50" s="18"/>
      <c r="J50" s="17"/>
    </row>
    <row r="51" spans="1:10" x14ac:dyDescent="0.35">
      <c r="A51" s="84">
        <v>307</v>
      </c>
      <c r="B51" s="86"/>
      <c r="C51" s="99"/>
      <c r="D51" s="101" t="s">
        <v>78</v>
      </c>
      <c r="E51" s="97"/>
      <c r="F51" s="12"/>
      <c r="G51" s="17"/>
      <c r="H51" s="18"/>
      <c r="I51" s="18"/>
      <c r="J51" s="17"/>
    </row>
    <row r="52" spans="1:10" x14ac:dyDescent="0.35">
      <c r="A52" s="85"/>
      <c r="B52" s="87"/>
      <c r="C52" s="100"/>
      <c r="D52" s="100"/>
      <c r="E52" s="97"/>
      <c r="F52" s="12"/>
      <c r="G52" s="17"/>
      <c r="H52" s="18"/>
      <c r="I52" s="18"/>
      <c r="J52" s="17"/>
    </row>
  </sheetData>
  <mergeCells count="92">
    <mergeCell ref="A49:A52"/>
    <mergeCell ref="B49:B50"/>
    <mergeCell ref="C49:C50"/>
    <mergeCell ref="D49:D50"/>
    <mergeCell ref="E49:E50"/>
    <mergeCell ref="B51:B52"/>
    <mergeCell ref="C51:C52"/>
    <mergeCell ref="D51:D52"/>
    <mergeCell ref="E51:E52"/>
    <mergeCell ref="A43:B43"/>
    <mergeCell ref="C43:J43"/>
    <mergeCell ref="A45:A48"/>
    <mergeCell ref="B45:B46"/>
    <mergeCell ref="C45:C46"/>
    <mergeCell ref="D45:D46"/>
    <mergeCell ref="E45:E46"/>
    <mergeCell ref="B47:B48"/>
    <mergeCell ref="C47:C48"/>
    <mergeCell ref="D47:D48"/>
    <mergeCell ref="E47:E48"/>
    <mergeCell ref="B29:B30"/>
    <mergeCell ref="C29:C30"/>
    <mergeCell ref="D29:D30"/>
    <mergeCell ref="E29:E30"/>
    <mergeCell ref="A27:A30"/>
    <mergeCell ref="B27:B28"/>
    <mergeCell ref="C27:C28"/>
    <mergeCell ref="D27:D28"/>
    <mergeCell ref="E27:E28"/>
    <mergeCell ref="B25:B26"/>
    <mergeCell ref="C25:C26"/>
    <mergeCell ref="D25:D26"/>
    <mergeCell ref="E25:E26"/>
    <mergeCell ref="A23:A26"/>
    <mergeCell ref="B23:B24"/>
    <mergeCell ref="C23:C24"/>
    <mergeCell ref="D23:D24"/>
    <mergeCell ref="E23:E24"/>
    <mergeCell ref="A21:B21"/>
    <mergeCell ref="C21:J21"/>
    <mergeCell ref="B15:B16"/>
    <mergeCell ref="C15:C16"/>
    <mergeCell ref="D15:D16"/>
    <mergeCell ref="E15:E16"/>
    <mergeCell ref="A15:A16"/>
    <mergeCell ref="B17:B18"/>
    <mergeCell ref="C17:C18"/>
    <mergeCell ref="D17:D18"/>
    <mergeCell ref="E17:E18"/>
    <mergeCell ref="A17:A18"/>
    <mergeCell ref="A1:B1"/>
    <mergeCell ref="C1:J1"/>
    <mergeCell ref="A13:B13"/>
    <mergeCell ref="C13:J13"/>
    <mergeCell ref="A3:A6"/>
    <mergeCell ref="D3:D4"/>
    <mergeCell ref="C3:C4"/>
    <mergeCell ref="E3:E4"/>
    <mergeCell ref="B3:B4"/>
    <mergeCell ref="B5:B6"/>
    <mergeCell ref="C5:C6"/>
    <mergeCell ref="D5:D6"/>
    <mergeCell ref="E5:E6"/>
    <mergeCell ref="A7:A10"/>
    <mergeCell ref="B9:B10"/>
    <mergeCell ref="C9:C10"/>
    <mergeCell ref="D9:D10"/>
    <mergeCell ref="E9:E10"/>
    <mergeCell ref="B7:B8"/>
    <mergeCell ref="C7:C8"/>
    <mergeCell ref="D7:D8"/>
    <mergeCell ref="E7:E8"/>
    <mergeCell ref="A33:B33"/>
    <mergeCell ref="C33:J33"/>
    <mergeCell ref="A35:A38"/>
    <mergeCell ref="B35:B36"/>
    <mergeCell ref="C35:C36"/>
    <mergeCell ref="D35:D36"/>
    <mergeCell ref="E35:E36"/>
    <mergeCell ref="B37:B38"/>
    <mergeCell ref="C37:C38"/>
    <mergeCell ref="D37:D38"/>
    <mergeCell ref="E37:E38"/>
    <mergeCell ref="A39:A42"/>
    <mergeCell ref="B39:B40"/>
    <mergeCell ref="C39:C40"/>
    <mergeCell ref="D39:D40"/>
    <mergeCell ref="E39:E40"/>
    <mergeCell ref="B41:B42"/>
    <mergeCell ref="C41:C42"/>
    <mergeCell ref="D41:D42"/>
    <mergeCell ref="E41:E4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3852-45C0-4729-B2E0-1AEDF0679524}">
  <dimension ref="A1:AT76"/>
  <sheetViews>
    <sheetView topLeftCell="A32" zoomScale="84" zoomScaleNormal="115" workbookViewId="0">
      <selection activeCell="C42" sqref="C42:J42"/>
    </sheetView>
  </sheetViews>
  <sheetFormatPr defaultRowHeight="14.5" x14ac:dyDescent="0.35"/>
  <cols>
    <col min="1" max="1" width="13.1796875" customWidth="1"/>
    <col min="2" max="2" width="3.26953125" customWidth="1"/>
    <col min="3" max="34" width="4.453125" customWidth="1"/>
    <col min="35" max="37" width="9.7265625" customWidth="1"/>
    <col min="38" max="42" width="13.54296875" customWidth="1"/>
  </cols>
  <sheetData>
    <row r="1" spans="1:46" x14ac:dyDescent="0.35">
      <c r="A1" s="91">
        <v>46002</v>
      </c>
      <c r="B1" s="92"/>
      <c r="C1" s="93" t="s">
        <v>27</v>
      </c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L1" t="s">
        <v>79</v>
      </c>
      <c r="AM1" t="s">
        <v>80</v>
      </c>
      <c r="AO1" t="s">
        <v>81</v>
      </c>
      <c r="AP1" t="s">
        <v>82</v>
      </c>
      <c r="AQ1" s="47"/>
      <c r="AR1" s="47"/>
      <c r="AS1" s="47"/>
      <c r="AT1" s="47"/>
    </row>
    <row r="2" spans="1:46" ht="18.649999999999999" customHeight="1" x14ac:dyDescent="0.35">
      <c r="A2" s="72" t="s">
        <v>1</v>
      </c>
      <c r="B2" s="73"/>
      <c r="C2" s="64" t="s">
        <v>2</v>
      </c>
      <c r="D2" s="65"/>
      <c r="E2" s="65"/>
      <c r="F2" s="65"/>
      <c r="G2" s="65"/>
      <c r="H2" s="65"/>
      <c r="I2" s="65"/>
      <c r="J2" s="66"/>
      <c r="K2" s="67" t="s">
        <v>3</v>
      </c>
      <c r="L2" s="68"/>
      <c r="M2" s="68"/>
      <c r="N2" s="68"/>
      <c r="O2" s="68"/>
      <c r="P2" s="68"/>
      <c r="Q2" s="68"/>
      <c r="R2" s="69"/>
      <c r="S2" s="64" t="s">
        <v>83</v>
      </c>
      <c r="T2" s="65"/>
      <c r="U2" s="65"/>
      <c r="V2" s="65"/>
      <c r="W2" s="65"/>
      <c r="X2" s="65"/>
      <c r="Y2" s="65"/>
      <c r="Z2" s="66"/>
      <c r="AA2" s="67" t="s">
        <v>84</v>
      </c>
      <c r="AB2" s="68"/>
      <c r="AC2" s="68"/>
      <c r="AD2" s="68"/>
      <c r="AE2" s="68"/>
      <c r="AF2" s="68"/>
      <c r="AG2" s="68"/>
      <c r="AH2" s="69"/>
      <c r="AL2" t="s">
        <v>85</v>
      </c>
      <c r="AM2" s="54">
        <v>2950000</v>
      </c>
      <c r="AO2">
        <v>22</v>
      </c>
      <c r="AP2" s="56">
        <v>377</v>
      </c>
      <c r="AQ2" s="48"/>
      <c r="AR2" s="48"/>
      <c r="AS2" s="48"/>
      <c r="AT2" s="48"/>
    </row>
    <row r="3" spans="1:46" ht="18.5" x14ac:dyDescent="0.35">
      <c r="A3" s="72" t="s">
        <v>86</v>
      </c>
      <c r="B3" s="73"/>
      <c r="C3" s="102" t="s">
        <v>43</v>
      </c>
      <c r="D3" s="103"/>
      <c r="E3" s="103"/>
      <c r="F3" s="103"/>
      <c r="G3" s="103"/>
      <c r="H3" s="103"/>
      <c r="I3" s="103"/>
      <c r="J3" s="104"/>
      <c r="K3" s="102" t="s">
        <v>44</v>
      </c>
      <c r="L3" s="103"/>
      <c r="M3" s="103"/>
      <c r="N3" s="103"/>
      <c r="O3" s="103"/>
      <c r="P3" s="103"/>
      <c r="Q3" s="103"/>
      <c r="R3" s="104"/>
      <c r="S3" s="102" t="s">
        <v>45</v>
      </c>
      <c r="T3" s="103"/>
      <c r="U3" s="103"/>
      <c r="V3" s="103"/>
      <c r="W3" s="103"/>
      <c r="X3" s="103"/>
      <c r="Y3" s="103"/>
      <c r="Z3" s="104"/>
      <c r="AA3" s="102" t="s">
        <v>46</v>
      </c>
      <c r="AB3" s="103"/>
      <c r="AC3" s="103"/>
      <c r="AD3" s="103"/>
      <c r="AE3" s="103"/>
      <c r="AF3" s="103"/>
      <c r="AG3" s="103"/>
      <c r="AH3" s="104"/>
      <c r="AL3" s="49">
        <v>1.4999999999999999E-2</v>
      </c>
      <c r="AM3" s="57">
        <f>AM$2*AL3</f>
        <v>44250</v>
      </c>
      <c r="AO3" s="57">
        <f>AM3*AO$2</f>
        <v>973500</v>
      </c>
      <c r="AP3" s="55">
        <f>(AO3*AP$2)/1000</f>
        <v>367009.5</v>
      </c>
    </row>
    <row r="4" spans="1:46" ht="18.5" x14ac:dyDescent="0.35">
      <c r="A4" s="72" t="s">
        <v>87</v>
      </c>
      <c r="B4" s="73"/>
      <c r="C4" s="102" t="s">
        <v>41</v>
      </c>
      <c r="D4" s="103"/>
      <c r="E4" s="103"/>
      <c r="F4" s="103"/>
      <c r="G4" s="103"/>
      <c r="H4" s="103"/>
      <c r="I4" s="103"/>
      <c r="J4" s="104"/>
      <c r="K4" s="102" t="s">
        <v>41</v>
      </c>
      <c r="L4" s="103"/>
      <c r="M4" s="103"/>
      <c r="N4" s="103"/>
      <c r="O4" s="103"/>
      <c r="P4" s="103"/>
      <c r="Q4" s="103"/>
      <c r="R4" s="104"/>
      <c r="S4" s="102" t="s">
        <v>49</v>
      </c>
      <c r="T4" s="103"/>
      <c r="U4" s="103"/>
      <c r="V4" s="103"/>
      <c r="W4" s="103"/>
      <c r="X4" s="103"/>
      <c r="Y4" s="103"/>
      <c r="Z4" s="104"/>
      <c r="AA4" s="102" t="s">
        <v>42</v>
      </c>
      <c r="AB4" s="103"/>
      <c r="AC4" s="103"/>
      <c r="AD4" s="103"/>
      <c r="AE4" s="103"/>
      <c r="AF4" s="103"/>
      <c r="AG4" s="103"/>
      <c r="AH4" s="104"/>
      <c r="AL4" s="49">
        <v>9.5999999999999992E-3</v>
      </c>
      <c r="AM4" s="57">
        <f t="shared" ref="AM4:AM5" si="0">AM$2*AL4</f>
        <v>28319.999999999996</v>
      </c>
      <c r="AO4" s="57">
        <f>AM4*AO$2</f>
        <v>623039.99999999988</v>
      </c>
      <c r="AP4" s="55">
        <f>(AO4*AP$2)/1000</f>
        <v>234886.07999999996</v>
      </c>
    </row>
    <row r="5" spans="1:46" ht="18.5" x14ac:dyDescent="0.35">
      <c r="A5" s="72" t="s">
        <v>18</v>
      </c>
      <c r="B5" s="73"/>
      <c r="C5" s="64" t="s">
        <v>20</v>
      </c>
      <c r="D5" s="65"/>
      <c r="E5" s="65"/>
      <c r="F5" s="65"/>
      <c r="G5" s="65"/>
      <c r="H5" s="65"/>
      <c r="I5" s="65"/>
      <c r="J5" s="66"/>
      <c r="K5" s="67" t="s">
        <v>19</v>
      </c>
      <c r="L5" s="68"/>
      <c r="M5" s="68"/>
      <c r="N5" s="68"/>
      <c r="O5" s="68"/>
      <c r="P5" s="68"/>
      <c r="Q5" s="68"/>
      <c r="R5" s="69"/>
      <c r="S5" s="64" t="s">
        <v>20</v>
      </c>
      <c r="T5" s="65"/>
      <c r="U5" s="65"/>
      <c r="V5" s="65"/>
      <c r="W5" s="65"/>
      <c r="X5" s="65"/>
      <c r="Y5" s="65"/>
      <c r="Z5" s="66"/>
      <c r="AA5" s="67" t="s">
        <v>19</v>
      </c>
      <c r="AB5" s="68"/>
      <c r="AC5" s="68"/>
      <c r="AD5" s="68"/>
      <c r="AE5" s="68"/>
      <c r="AF5" s="68"/>
      <c r="AG5" s="68"/>
      <c r="AH5" s="69"/>
      <c r="AL5" s="49">
        <v>5.4000000000000003E-3</v>
      </c>
      <c r="AM5" s="57">
        <f t="shared" si="0"/>
        <v>15930</v>
      </c>
      <c r="AO5" s="57">
        <f>AM5*AO$2</f>
        <v>350460</v>
      </c>
      <c r="AP5" s="55">
        <f>(AO5*AP$2)/1000</f>
        <v>132123.42000000001</v>
      </c>
    </row>
    <row r="6" spans="1:46" ht="16" x14ac:dyDescent="0.35">
      <c r="A6" s="72" t="s">
        <v>21</v>
      </c>
      <c r="B6" s="73"/>
      <c r="C6" s="15">
        <v>361</v>
      </c>
      <c r="D6" s="111">
        <v>730</v>
      </c>
      <c r="E6" s="112"/>
      <c r="F6" s="111">
        <v>361</v>
      </c>
      <c r="G6" s="112"/>
      <c r="H6" s="111">
        <v>730</v>
      </c>
      <c r="I6" s="112"/>
      <c r="J6" s="15">
        <v>361</v>
      </c>
      <c r="K6" s="14">
        <v>361</v>
      </c>
      <c r="L6" s="105">
        <v>730</v>
      </c>
      <c r="M6" s="106"/>
      <c r="N6" s="105">
        <v>361</v>
      </c>
      <c r="O6" s="106"/>
      <c r="P6" s="105">
        <v>730</v>
      </c>
      <c r="Q6" s="106"/>
      <c r="R6" s="14">
        <v>361</v>
      </c>
      <c r="S6" s="15">
        <v>361</v>
      </c>
      <c r="T6" s="111">
        <v>730</v>
      </c>
      <c r="U6" s="112"/>
      <c r="V6" s="111">
        <v>361</v>
      </c>
      <c r="W6" s="112"/>
      <c r="X6" s="111">
        <v>730</v>
      </c>
      <c r="Y6" s="112"/>
      <c r="Z6" s="15">
        <v>361</v>
      </c>
      <c r="AA6" s="14">
        <v>361</v>
      </c>
      <c r="AB6" s="105">
        <v>730</v>
      </c>
      <c r="AC6" s="106"/>
      <c r="AD6" s="105">
        <v>361</v>
      </c>
      <c r="AE6" s="106"/>
      <c r="AF6" s="105">
        <v>730</v>
      </c>
      <c r="AG6" s="106"/>
      <c r="AH6" s="14">
        <v>361</v>
      </c>
    </row>
    <row r="7" spans="1:46" ht="18.5" x14ac:dyDescent="0.35">
      <c r="A7" s="72" t="s">
        <v>11</v>
      </c>
      <c r="B7" s="73"/>
      <c r="C7" s="16">
        <v>1</v>
      </c>
      <c r="D7" s="16">
        <v>2</v>
      </c>
      <c r="E7" s="16">
        <v>3</v>
      </c>
      <c r="F7" s="16">
        <v>4</v>
      </c>
      <c r="G7" s="16">
        <v>5</v>
      </c>
      <c r="H7" s="16">
        <v>6</v>
      </c>
      <c r="I7" s="16">
        <v>7</v>
      </c>
      <c r="J7" s="16">
        <v>8</v>
      </c>
      <c r="K7" s="6">
        <v>1</v>
      </c>
      <c r="L7" s="6">
        <v>2</v>
      </c>
      <c r="M7" s="6">
        <v>3</v>
      </c>
      <c r="N7" s="6">
        <v>4</v>
      </c>
      <c r="O7" s="6">
        <v>5</v>
      </c>
      <c r="P7" s="6">
        <v>6</v>
      </c>
      <c r="Q7" s="6">
        <v>7</v>
      </c>
      <c r="R7" s="6">
        <v>8</v>
      </c>
      <c r="S7" s="16">
        <v>1</v>
      </c>
      <c r="T7" s="16">
        <v>2</v>
      </c>
      <c r="U7" s="16">
        <v>3</v>
      </c>
      <c r="V7" s="16">
        <v>4</v>
      </c>
      <c r="W7" s="16">
        <v>5</v>
      </c>
      <c r="X7" s="16">
        <v>6</v>
      </c>
      <c r="Y7" s="16">
        <v>7</v>
      </c>
      <c r="Z7" s="16">
        <v>8</v>
      </c>
      <c r="AA7" s="6">
        <v>1</v>
      </c>
      <c r="AB7" s="6">
        <v>2</v>
      </c>
      <c r="AC7" s="6">
        <v>3</v>
      </c>
      <c r="AD7" s="6">
        <v>4</v>
      </c>
      <c r="AE7" s="6">
        <v>5</v>
      </c>
      <c r="AF7" s="6">
        <v>6</v>
      </c>
      <c r="AG7" s="6">
        <v>7</v>
      </c>
      <c r="AH7" s="6">
        <v>8</v>
      </c>
    </row>
    <row r="8" spans="1:46" ht="16" x14ac:dyDescent="0.35">
      <c r="A8" s="42" t="s">
        <v>12</v>
      </c>
      <c r="B8" s="43" t="s">
        <v>13</v>
      </c>
      <c r="C8" s="44">
        <v>43</v>
      </c>
      <c r="D8" s="44">
        <v>148</v>
      </c>
      <c r="E8" s="44">
        <v>311</v>
      </c>
      <c r="F8" s="44">
        <v>28</v>
      </c>
      <c r="G8" s="44">
        <v>36</v>
      </c>
      <c r="H8" s="44">
        <v>162</v>
      </c>
      <c r="I8" s="44">
        <v>305</v>
      </c>
      <c r="J8" s="44">
        <v>33</v>
      </c>
      <c r="K8" s="44">
        <v>36</v>
      </c>
      <c r="L8" s="44">
        <v>97</v>
      </c>
      <c r="M8" s="44">
        <v>217</v>
      </c>
      <c r="N8" s="44">
        <v>58</v>
      </c>
      <c r="O8" s="44">
        <v>31</v>
      </c>
      <c r="P8" s="44">
        <v>97</v>
      </c>
      <c r="Q8" s="44">
        <v>212</v>
      </c>
      <c r="R8" s="44">
        <v>38</v>
      </c>
      <c r="S8" s="44">
        <v>226</v>
      </c>
      <c r="T8" s="44">
        <v>386</v>
      </c>
      <c r="U8" s="44">
        <v>431</v>
      </c>
      <c r="V8" s="44">
        <v>249</v>
      </c>
      <c r="W8" s="44">
        <v>225</v>
      </c>
      <c r="X8" s="44">
        <v>268</v>
      </c>
      <c r="Y8" s="44">
        <v>391</v>
      </c>
      <c r="Z8" s="44">
        <v>212</v>
      </c>
      <c r="AA8" s="44">
        <v>4</v>
      </c>
      <c r="AB8" s="44">
        <v>26</v>
      </c>
      <c r="AC8" s="44">
        <v>54</v>
      </c>
      <c r="AD8" s="44">
        <v>33</v>
      </c>
      <c r="AE8" s="44">
        <v>27</v>
      </c>
      <c r="AF8" s="44">
        <v>38</v>
      </c>
      <c r="AG8" s="44">
        <v>60</v>
      </c>
      <c r="AH8" s="44">
        <v>22</v>
      </c>
      <c r="AM8" s="51" t="s">
        <v>88</v>
      </c>
      <c r="AN8" s="50" t="s">
        <v>19</v>
      </c>
    </row>
    <row r="9" spans="1:46" ht="16" x14ac:dyDescent="0.35">
      <c r="A9" s="42" t="s">
        <v>14</v>
      </c>
      <c r="B9" s="43" t="s">
        <v>13</v>
      </c>
      <c r="C9" s="44">
        <v>0</v>
      </c>
      <c r="D9" s="44">
        <v>1</v>
      </c>
      <c r="E9" s="44">
        <v>0</v>
      </c>
      <c r="F9" s="44">
        <v>0</v>
      </c>
      <c r="G9" s="44">
        <v>0</v>
      </c>
      <c r="H9" s="44">
        <v>2</v>
      </c>
      <c r="I9" s="44">
        <v>1</v>
      </c>
      <c r="J9" s="44">
        <v>0</v>
      </c>
      <c r="K9" s="44">
        <v>1</v>
      </c>
      <c r="L9" s="44">
        <v>1</v>
      </c>
      <c r="M9" s="44">
        <v>2</v>
      </c>
      <c r="N9" s="44">
        <v>1</v>
      </c>
      <c r="O9" s="44">
        <v>1</v>
      </c>
      <c r="P9" s="44">
        <v>2</v>
      </c>
      <c r="Q9" s="44">
        <v>2</v>
      </c>
      <c r="R9" s="44">
        <v>0</v>
      </c>
      <c r="S9" s="44">
        <v>1</v>
      </c>
      <c r="T9" s="44">
        <v>0</v>
      </c>
      <c r="U9" s="44">
        <v>3</v>
      </c>
      <c r="V9" s="44">
        <v>0</v>
      </c>
      <c r="W9" s="44">
        <v>0</v>
      </c>
      <c r="X9" s="44">
        <v>3</v>
      </c>
      <c r="Y9" s="44">
        <v>2</v>
      </c>
      <c r="Z9" s="44">
        <v>1</v>
      </c>
      <c r="AA9" s="44">
        <v>0</v>
      </c>
      <c r="AB9" s="44">
        <v>0</v>
      </c>
      <c r="AC9" s="44">
        <v>0</v>
      </c>
      <c r="AD9" s="44">
        <v>1</v>
      </c>
      <c r="AE9" s="44">
        <v>0</v>
      </c>
      <c r="AF9" s="44">
        <v>3</v>
      </c>
      <c r="AG9" s="44">
        <v>0</v>
      </c>
      <c r="AH9" s="44">
        <v>0</v>
      </c>
      <c r="AM9" s="51">
        <f>(C13+S13)/(C$12+S$12)</f>
        <v>1.5008210180623973E-2</v>
      </c>
      <c r="AN9" s="50">
        <f>(K13+AA13)/(K$12+AA$12)</f>
        <v>9.6141732283464565E-3</v>
      </c>
    </row>
    <row r="10" spans="1:46" ht="16" x14ac:dyDescent="0.35">
      <c r="A10" s="42" t="s">
        <v>15</v>
      </c>
      <c r="B10" s="43" t="s">
        <v>13</v>
      </c>
      <c r="C10" s="44">
        <v>5</v>
      </c>
      <c r="D10" s="44">
        <v>4</v>
      </c>
      <c r="E10" s="44">
        <v>3</v>
      </c>
      <c r="F10" s="44">
        <v>0</v>
      </c>
      <c r="G10" s="44">
        <v>3</v>
      </c>
      <c r="H10" s="44">
        <v>2</v>
      </c>
      <c r="I10" s="44">
        <v>4</v>
      </c>
      <c r="J10" s="44">
        <v>5</v>
      </c>
      <c r="K10" s="44">
        <v>1</v>
      </c>
      <c r="L10" s="44">
        <v>1</v>
      </c>
      <c r="M10" s="44">
        <v>0</v>
      </c>
      <c r="N10" s="44">
        <v>1</v>
      </c>
      <c r="O10" s="44">
        <v>4</v>
      </c>
      <c r="P10" s="44">
        <v>1</v>
      </c>
      <c r="Q10" s="44">
        <v>2</v>
      </c>
      <c r="R10" s="44">
        <v>5</v>
      </c>
      <c r="S10" s="44">
        <v>88</v>
      </c>
      <c r="T10" s="44">
        <v>83</v>
      </c>
      <c r="U10" s="44">
        <v>81</v>
      </c>
      <c r="V10" s="44">
        <v>70</v>
      </c>
      <c r="W10" s="44">
        <v>70</v>
      </c>
      <c r="X10" s="44">
        <v>90</v>
      </c>
      <c r="Y10" s="44">
        <v>94</v>
      </c>
      <c r="Z10" s="44">
        <v>87</v>
      </c>
      <c r="AA10" s="44">
        <v>1</v>
      </c>
      <c r="AB10" s="44">
        <v>0</v>
      </c>
      <c r="AC10" s="44">
        <v>0</v>
      </c>
      <c r="AD10" s="44">
        <v>0</v>
      </c>
      <c r="AE10" s="44">
        <v>1</v>
      </c>
      <c r="AF10" s="44">
        <v>1</v>
      </c>
      <c r="AG10" s="44">
        <v>0</v>
      </c>
      <c r="AH10" s="44">
        <v>0</v>
      </c>
      <c r="AM10" s="53" t="s">
        <v>89</v>
      </c>
      <c r="AN10" s="52">
        <f>AM9-AN9</f>
        <v>5.3940369522775169E-3</v>
      </c>
    </row>
    <row r="11" spans="1:46" x14ac:dyDescent="0.35">
      <c r="A11" s="42" t="s">
        <v>16</v>
      </c>
      <c r="B11" s="43" t="s">
        <v>13</v>
      </c>
      <c r="C11" s="44">
        <v>9</v>
      </c>
      <c r="D11" s="44">
        <v>9</v>
      </c>
      <c r="E11" s="44">
        <v>10</v>
      </c>
      <c r="F11" s="44">
        <v>8</v>
      </c>
      <c r="G11" s="44">
        <v>8</v>
      </c>
      <c r="H11" s="44">
        <v>9</v>
      </c>
      <c r="I11" s="44">
        <v>6</v>
      </c>
      <c r="J11" s="44">
        <v>9</v>
      </c>
      <c r="K11" s="44">
        <v>5</v>
      </c>
      <c r="L11" s="44">
        <v>14</v>
      </c>
      <c r="M11" s="44">
        <v>7</v>
      </c>
      <c r="N11" s="44">
        <v>10</v>
      </c>
      <c r="O11" s="44">
        <v>11</v>
      </c>
      <c r="P11" s="44">
        <v>10</v>
      </c>
      <c r="Q11" s="44">
        <v>16</v>
      </c>
      <c r="R11" s="44">
        <v>6</v>
      </c>
      <c r="S11" s="44">
        <v>12</v>
      </c>
      <c r="T11" s="44">
        <v>14</v>
      </c>
      <c r="U11" s="44">
        <v>15</v>
      </c>
      <c r="V11" s="44">
        <v>20</v>
      </c>
      <c r="W11" s="44">
        <v>13</v>
      </c>
      <c r="X11" s="44">
        <v>20</v>
      </c>
      <c r="Y11" s="44">
        <v>14</v>
      </c>
      <c r="Z11" s="44">
        <v>14</v>
      </c>
      <c r="AA11" s="44">
        <v>11</v>
      </c>
      <c r="AB11" s="44">
        <v>5</v>
      </c>
      <c r="AC11" s="44">
        <v>16</v>
      </c>
      <c r="AD11" s="44">
        <v>6</v>
      </c>
      <c r="AE11" s="44">
        <v>6</v>
      </c>
      <c r="AF11" s="44">
        <v>9</v>
      </c>
      <c r="AG11" s="44">
        <v>10</v>
      </c>
      <c r="AH11" s="44">
        <v>10</v>
      </c>
    </row>
    <row r="12" spans="1:46" x14ac:dyDescent="0.35">
      <c r="A12" s="45" t="s">
        <v>90</v>
      </c>
      <c r="B12" s="46" t="s">
        <v>13</v>
      </c>
      <c r="C12" s="113">
        <v>74100</v>
      </c>
      <c r="D12" s="114"/>
      <c r="E12" s="114"/>
      <c r="F12" s="114"/>
      <c r="G12" s="114"/>
      <c r="H12" s="114"/>
      <c r="I12" s="114"/>
      <c r="J12" s="115"/>
      <c r="K12" s="113">
        <v>64000</v>
      </c>
      <c r="L12" s="114"/>
      <c r="M12" s="114"/>
      <c r="N12" s="114"/>
      <c r="O12" s="114"/>
      <c r="P12" s="114"/>
      <c r="Q12" s="114"/>
      <c r="R12" s="115"/>
      <c r="S12" s="113">
        <v>47700</v>
      </c>
      <c r="T12" s="114"/>
      <c r="U12" s="114"/>
      <c r="V12" s="114"/>
      <c r="W12" s="114"/>
      <c r="X12" s="114"/>
      <c r="Y12" s="114"/>
      <c r="Z12" s="115"/>
      <c r="AA12" s="113">
        <v>63000</v>
      </c>
      <c r="AB12" s="114"/>
      <c r="AC12" s="114"/>
      <c r="AD12" s="114"/>
      <c r="AE12" s="114"/>
      <c r="AF12" s="114"/>
      <c r="AG12" s="114"/>
      <c r="AH12" s="115"/>
    </row>
    <row r="13" spans="1:46" x14ac:dyDescent="0.35">
      <c r="A13" s="45" t="s">
        <v>91</v>
      </c>
      <c r="B13" s="46" t="s">
        <v>13</v>
      </c>
      <c r="C13" s="113">
        <v>1059</v>
      </c>
      <c r="D13" s="114"/>
      <c r="E13" s="114"/>
      <c r="F13" s="114"/>
      <c r="G13" s="114"/>
      <c r="H13" s="114"/>
      <c r="I13" s="114"/>
      <c r="J13" s="115"/>
      <c r="K13" s="113">
        <v>916</v>
      </c>
      <c r="L13" s="114"/>
      <c r="M13" s="114"/>
      <c r="N13" s="114"/>
      <c r="O13" s="114"/>
      <c r="P13" s="114"/>
      <c r="Q13" s="114"/>
      <c r="R13" s="115"/>
      <c r="S13" s="113">
        <v>769</v>
      </c>
      <c r="T13" s="114"/>
      <c r="U13" s="114"/>
      <c r="V13" s="114"/>
      <c r="W13" s="114"/>
      <c r="X13" s="114"/>
      <c r="Y13" s="114"/>
      <c r="Z13" s="115"/>
      <c r="AA13" s="113">
        <v>305</v>
      </c>
      <c r="AB13" s="114"/>
      <c r="AC13" s="114"/>
      <c r="AD13" s="114"/>
      <c r="AE13" s="114"/>
      <c r="AF13" s="114"/>
      <c r="AG13" s="114"/>
      <c r="AH13" s="115"/>
    </row>
    <row r="14" spans="1:46" x14ac:dyDescent="0.35">
      <c r="A14" s="45" t="s">
        <v>92</v>
      </c>
      <c r="B14" s="46" t="s">
        <v>13</v>
      </c>
      <c r="C14" s="113">
        <v>0</v>
      </c>
      <c r="D14" s="114"/>
      <c r="E14" s="114"/>
      <c r="F14" s="114"/>
      <c r="G14" s="114"/>
      <c r="H14" s="114"/>
      <c r="I14" s="114"/>
      <c r="J14" s="115"/>
      <c r="K14" s="113">
        <v>0</v>
      </c>
      <c r="L14" s="114"/>
      <c r="M14" s="114"/>
      <c r="N14" s="114"/>
      <c r="O14" s="114"/>
      <c r="P14" s="114"/>
      <c r="Q14" s="114"/>
      <c r="R14" s="115"/>
      <c r="S14" s="113">
        <v>1310</v>
      </c>
      <c r="T14" s="114"/>
      <c r="U14" s="114"/>
      <c r="V14" s="114"/>
      <c r="W14" s="114"/>
      <c r="X14" s="114"/>
      <c r="Y14" s="114"/>
      <c r="Z14" s="115"/>
      <c r="AA14" s="113">
        <v>0</v>
      </c>
      <c r="AB14" s="114"/>
      <c r="AC14" s="114"/>
      <c r="AD14" s="114"/>
      <c r="AE14" s="114"/>
      <c r="AF14" s="114"/>
      <c r="AG14" s="114"/>
      <c r="AH14" s="115"/>
    </row>
    <row r="15" spans="1:46" x14ac:dyDescent="0.35">
      <c r="A15" s="45" t="s">
        <v>93</v>
      </c>
      <c r="B15" s="46" t="s">
        <v>13</v>
      </c>
      <c r="C15" s="113">
        <v>1059</v>
      </c>
      <c r="D15" s="114"/>
      <c r="E15" s="114"/>
      <c r="F15" s="114"/>
      <c r="G15" s="114"/>
      <c r="H15" s="114"/>
      <c r="I15" s="114"/>
      <c r="J15" s="115"/>
      <c r="K15" s="113">
        <v>916</v>
      </c>
      <c r="L15" s="114"/>
      <c r="M15" s="114"/>
      <c r="N15" s="114"/>
      <c r="O15" s="114"/>
      <c r="P15" s="114"/>
      <c r="Q15" s="114"/>
      <c r="R15" s="115"/>
      <c r="S15" s="113">
        <v>2079</v>
      </c>
      <c r="T15" s="114"/>
      <c r="U15" s="114"/>
      <c r="V15" s="114"/>
      <c r="W15" s="114"/>
      <c r="X15" s="114"/>
      <c r="Y15" s="114"/>
      <c r="Z15" s="115"/>
      <c r="AA15" s="113">
        <v>305</v>
      </c>
      <c r="AB15" s="114"/>
      <c r="AC15" s="114"/>
      <c r="AD15" s="114"/>
      <c r="AE15" s="114"/>
      <c r="AF15" s="114"/>
      <c r="AG15" s="114"/>
      <c r="AH15" s="115"/>
    </row>
    <row r="16" spans="1:46" x14ac:dyDescent="0.35">
      <c r="A16" s="37" t="s">
        <v>91</v>
      </c>
      <c r="B16" s="38" t="s">
        <v>94</v>
      </c>
      <c r="C16" s="116">
        <f>C13/C$12</f>
        <v>1.4291497975708502E-2</v>
      </c>
      <c r="D16" s="117"/>
      <c r="E16" s="117"/>
      <c r="F16" s="117"/>
      <c r="G16" s="117"/>
      <c r="H16" s="117"/>
      <c r="I16" s="117"/>
      <c r="J16" s="118"/>
      <c r="K16" s="116">
        <f>K13/K$12</f>
        <v>1.4312500000000001E-2</v>
      </c>
      <c r="L16" s="117"/>
      <c r="M16" s="117"/>
      <c r="N16" s="117"/>
      <c r="O16" s="117"/>
      <c r="P16" s="117"/>
      <c r="Q16" s="117"/>
      <c r="R16" s="118"/>
      <c r="S16" s="116">
        <f>S13/S$12</f>
        <v>1.6121593291404612E-2</v>
      </c>
      <c r="T16" s="117"/>
      <c r="U16" s="117"/>
      <c r="V16" s="117"/>
      <c r="W16" s="117"/>
      <c r="X16" s="117"/>
      <c r="Y16" s="117"/>
      <c r="Z16" s="118"/>
      <c r="AA16" s="116">
        <f>AA13/AA$12</f>
        <v>4.8412698412698416E-3</v>
      </c>
      <c r="AB16" s="117"/>
      <c r="AC16" s="117"/>
      <c r="AD16" s="117"/>
      <c r="AE16" s="117"/>
      <c r="AF16" s="117"/>
      <c r="AG16" s="117"/>
      <c r="AH16" s="118"/>
    </row>
    <row r="17" spans="1:34" x14ac:dyDescent="0.35">
      <c r="A17" s="37" t="s">
        <v>92</v>
      </c>
      <c r="B17" s="38" t="s">
        <v>94</v>
      </c>
      <c r="C17" s="116">
        <f>C14/C$12</f>
        <v>0</v>
      </c>
      <c r="D17" s="117"/>
      <c r="E17" s="117"/>
      <c r="F17" s="117"/>
      <c r="G17" s="117"/>
      <c r="H17" s="117"/>
      <c r="I17" s="117"/>
      <c r="J17" s="118"/>
      <c r="K17" s="116">
        <f>K14/K$12</f>
        <v>0</v>
      </c>
      <c r="L17" s="117"/>
      <c r="M17" s="117"/>
      <c r="N17" s="117"/>
      <c r="O17" s="117"/>
      <c r="P17" s="117"/>
      <c r="Q17" s="117"/>
      <c r="R17" s="118"/>
      <c r="S17" s="116">
        <f>S14/S$12</f>
        <v>2.7463312368972745E-2</v>
      </c>
      <c r="T17" s="117"/>
      <c r="U17" s="117"/>
      <c r="V17" s="117"/>
      <c r="W17" s="117"/>
      <c r="X17" s="117"/>
      <c r="Y17" s="117"/>
      <c r="Z17" s="118"/>
      <c r="AA17" s="116">
        <f>AA14/AA$12</f>
        <v>0</v>
      </c>
      <c r="AB17" s="117"/>
      <c r="AC17" s="117"/>
      <c r="AD17" s="117"/>
      <c r="AE17" s="117"/>
      <c r="AF17" s="117"/>
      <c r="AG17" s="117"/>
      <c r="AH17" s="118"/>
    </row>
    <row r="18" spans="1:34" x14ac:dyDescent="0.35">
      <c r="A18" s="37" t="s">
        <v>93</v>
      </c>
      <c r="B18" s="38" t="s">
        <v>94</v>
      </c>
      <c r="C18" s="116">
        <f>C15/C$12</f>
        <v>1.4291497975708502E-2</v>
      </c>
      <c r="D18" s="117"/>
      <c r="E18" s="117"/>
      <c r="F18" s="117"/>
      <c r="G18" s="117"/>
      <c r="H18" s="117"/>
      <c r="I18" s="117"/>
      <c r="J18" s="118"/>
      <c r="K18" s="116">
        <f>K15/K$12</f>
        <v>1.4312500000000001E-2</v>
      </c>
      <c r="L18" s="117"/>
      <c r="M18" s="117"/>
      <c r="N18" s="117"/>
      <c r="O18" s="117"/>
      <c r="P18" s="117"/>
      <c r="Q18" s="117"/>
      <c r="R18" s="118"/>
      <c r="S18" s="116">
        <f>S15/S$12</f>
        <v>4.3584905660377357E-2</v>
      </c>
      <c r="T18" s="117"/>
      <c r="U18" s="117"/>
      <c r="V18" s="117"/>
      <c r="W18" s="117"/>
      <c r="X18" s="117"/>
      <c r="Y18" s="117"/>
      <c r="Z18" s="118"/>
      <c r="AA18" s="116">
        <f>AA15/AA$12</f>
        <v>4.8412698412698416E-3</v>
      </c>
      <c r="AB18" s="117"/>
      <c r="AC18" s="117"/>
      <c r="AD18" s="117"/>
      <c r="AE18" s="117"/>
      <c r="AF18" s="117"/>
      <c r="AG18" s="117"/>
      <c r="AH18" s="118"/>
    </row>
    <row r="19" spans="1:34" x14ac:dyDescent="0.35">
      <c r="S19" t="s">
        <v>95</v>
      </c>
    </row>
    <row r="21" spans="1:34" x14ac:dyDescent="0.35">
      <c r="A21" s="91">
        <v>46006</v>
      </c>
      <c r="B21" s="92"/>
      <c r="C21" s="119" t="s">
        <v>52</v>
      </c>
      <c r="D21" s="119"/>
      <c r="E21" s="119"/>
      <c r="F21" s="119"/>
      <c r="G21" s="119"/>
      <c r="H21" s="119"/>
      <c r="I21" s="119"/>
      <c r="J21" s="119"/>
    </row>
    <row r="22" spans="1:34" ht="16" x14ac:dyDescent="0.4">
      <c r="A22" s="72" t="s">
        <v>1</v>
      </c>
      <c r="B22" s="73"/>
      <c r="C22" s="107" t="s">
        <v>96</v>
      </c>
      <c r="D22" s="107"/>
      <c r="E22" s="107"/>
      <c r="F22" s="107"/>
      <c r="G22" s="107"/>
      <c r="H22" s="107"/>
      <c r="I22" s="107"/>
      <c r="J22" s="107"/>
    </row>
    <row r="23" spans="1:34" ht="16" x14ac:dyDescent="0.4">
      <c r="A23" s="72" t="s">
        <v>18</v>
      </c>
      <c r="B23" s="73"/>
      <c r="C23" s="108" t="s">
        <v>97</v>
      </c>
      <c r="D23" s="109"/>
      <c r="E23" s="109"/>
      <c r="F23" s="109"/>
      <c r="G23" s="109"/>
      <c r="H23" s="109"/>
      <c r="I23" s="109"/>
      <c r="J23" s="110"/>
    </row>
    <row r="24" spans="1:34" ht="16" x14ac:dyDescent="0.4">
      <c r="A24" s="72" t="s">
        <v>21</v>
      </c>
      <c r="B24" s="73"/>
      <c r="C24" s="35">
        <v>361</v>
      </c>
      <c r="D24" s="107">
        <v>307</v>
      </c>
      <c r="E24" s="107"/>
      <c r="F24" s="107">
        <v>361</v>
      </c>
      <c r="G24" s="107"/>
      <c r="H24" s="107">
        <v>307</v>
      </c>
      <c r="I24" s="107"/>
      <c r="J24" s="35">
        <v>361</v>
      </c>
    </row>
    <row r="25" spans="1:34" ht="18.5" x14ac:dyDescent="0.45">
      <c r="A25" s="72" t="s">
        <v>11</v>
      </c>
      <c r="B25" s="73"/>
      <c r="C25" s="36">
        <v>1</v>
      </c>
      <c r="D25" s="36">
        <v>2</v>
      </c>
      <c r="E25" s="36">
        <v>3</v>
      </c>
      <c r="F25" s="36">
        <v>4</v>
      </c>
      <c r="G25" s="36">
        <v>5</v>
      </c>
      <c r="H25" s="36">
        <v>6</v>
      </c>
      <c r="I25" s="36">
        <v>7</v>
      </c>
      <c r="J25" s="36">
        <v>8</v>
      </c>
    </row>
    <row r="26" spans="1:34" x14ac:dyDescent="0.35">
      <c r="A26" s="42" t="s">
        <v>12</v>
      </c>
      <c r="B26" s="43" t="s">
        <v>13</v>
      </c>
      <c r="C26" s="44">
        <v>45</v>
      </c>
      <c r="D26" s="44">
        <v>14</v>
      </c>
      <c r="E26" s="44">
        <v>21</v>
      </c>
      <c r="F26" s="44">
        <v>24</v>
      </c>
      <c r="G26" s="44">
        <v>31</v>
      </c>
      <c r="H26" s="44">
        <v>9</v>
      </c>
      <c r="I26" s="44">
        <v>19</v>
      </c>
      <c r="J26" s="44">
        <v>25</v>
      </c>
    </row>
    <row r="27" spans="1:34" x14ac:dyDescent="0.35">
      <c r="A27" s="42" t="s">
        <v>14</v>
      </c>
      <c r="B27" s="43" t="s">
        <v>13</v>
      </c>
      <c r="C27" s="44">
        <v>3</v>
      </c>
      <c r="D27" s="44">
        <v>2</v>
      </c>
      <c r="E27" s="44">
        <v>1</v>
      </c>
      <c r="F27" s="44">
        <v>2</v>
      </c>
      <c r="G27" s="44">
        <v>2</v>
      </c>
      <c r="H27" s="44">
        <v>3</v>
      </c>
      <c r="I27" s="44">
        <v>1</v>
      </c>
      <c r="J27" s="44">
        <v>2</v>
      </c>
    </row>
    <row r="28" spans="1:34" x14ac:dyDescent="0.35">
      <c r="A28" s="42" t="s">
        <v>15</v>
      </c>
      <c r="B28" s="43" t="s">
        <v>13</v>
      </c>
      <c r="C28" s="44">
        <v>2</v>
      </c>
      <c r="D28" s="44">
        <v>1</v>
      </c>
      <c r="E28" s="44">
        <v>0</v>
      </c>
      <c r="F28" s="44">
        <v>0</v>
      </c>
      <c r="G28" s="44">
        <v>1</v>
      </c>
      <c r="H28" s="44">
        <v>0</v>
      </c>
      <c r="I28" s="44">
        <v>2</v>
      </c>
      <c r="J28" s="44">
        <v>0</v>
      </c>
    </row>
    <row r="29" spans="1:34" x14ac:dyDescent="0.35">
      <c r="A29" s="42" t="s">
        <v>16</v>
      </c>
      <c r="B29" s="43" t="s">
        <v>13</v>
      </c>
      <c r="C29" s="44">
        <v>1</v>
      </c>
      <c r="D29" s="44">
        <v>1</v>
      </c>
      <c r="E29" s="44">
        <v>0</v>
      </c>
      <c r="F29" s="44">
        <v>1</v>
      </c>
      <c r="G29" s="44">
        <v>0</v>
      </c>
      <c r="H29" s="44">
        <v>0</v>
      </c>
      <c r="I29" s="44">
        <v>0</v>
      </c>
      <c r="J29" s="44">
        <v>1</v>
      </c>
    </row>
    <row r="30" spans="1:34" x14ac:dyDescent="0.35">
      <c r="A30" s="45" t="s">
        <v>90</v>
      </c>
      <c r="B30" s="46" t="s">
        <v>13</v>
      </c>
      <c r="C30" s="113">
        <v>74900</v>
      </c>
      <c r="D30" s="114"/>
      <c r="E30" s="114"/>
      <c r="F30" s="114"/>
      <c r="G30" s="114"/>
      <c r="H30" s="114"/>
      <c r="I30" s="114"/>
      <c r="J30" s="115"/>
    </row>
    <row r="31" spans="1:34" x14ac:dyDescent="0.35">
      <c r="A31" s="45" t="s">
        <v>91</v>
      </c>
      <c r="B31" s="46" t="s">
        <v>13</v>
      </c>
      <c r="C31" s="113">
        <v>190</v>
      </c>
      <c r="D31" s="114"/>
      <c r="E31" s="114"/>
      <c r="F31" s="114"/>
      <c r="G31" s="114"/>
      <c r="H31" s="114"/>
      <c r="I31" s="114"/>
      <c r="J31" s="115"/>
    </row>
    <row r="32" spans="1:34" x14ac:dyDescent="0.35">
      <c r="A32" s="45" t="s">
        <v>92</v>
      </c>
      <c r="B32" s="46" t="s">
        <v>13</v>
      </c>
      <c r="C32" s="113">
        <v>0</v>
      </c>
      <c r="D32" s="114"/>
      <c r="E32" s="114"/>
      <c r="F32" s="114"/>
      <c r="G32" s="114"/>
      <c r="H32" s="114"/>
      <c r="I32" s="114"/>
      <c r="J32" s="115"/>
    </row>
    <row r="33" spans="1:18" x14ac:dyDescent="0.35">
      <c r="A33" s="45" t="s">
        <v>93</v>
      </c>
      <c r="B33" s="46" t="s">
        <v>13</v>
      </c>
      <c r="C33" s="113">
        <v>190</v>
      </c>
      <c r="D33" s="114"/>
      <c r="E33" s="114"/>
      <c r="F33" s="114"/>
      <c r="G33" s="114"/>
      <c r="H33" s="114"/>
      <c r="I33" s="114"/>
      <c r="J33" s="115"/>
    </row>
    <row r="34" spans="1:18" x14ac:dyDescent="0.35">
      <c r="A34" s="37" t="s">
        <v>91</v>
      </c>
      <c r="B34" s="38" t="s">
        <v>94</v>
      </c>
      <c r="C34" s="116">
        <f>C31/C$30</f>
        <v>2.5367156208277704E-3</v>
      </c>
      <c r="D34" s="117"/>
      <c r="E34" s="117"/>
      <c r="F34" s="117"/>
      <c r="G34" s="117"/>
      <c r="H34" s="117"/>
      <c r="I34" s="117"/>
      <c r="J34" s="118"/>
    </row>
    <row r="35" spans="1:18" x14ac:dyDescent="0.35">
      <c r="A35" s="37" t="s">
        <v>92</v>
      </c>
      <c r="B35" s="38" t="s">
        <v>94</v>
      </c>
      <c r="C35" s="116">
        <f t="shared" ref="C35:C36" si="1">C32/C$30</f>
        <v>0</v>
      </c>
      <c r="D35" s="117"/>
      <c r="E35" s="117"/>
      <c r="F35" s="117"/>
      <c r="G35" s="117"/>
      <c r="H35" s="117"/>
      <c r="I35" s="117"/>
      <c r="J35" s="118"/>
    </row>
    <row r="36" spans="1:18" x14ac:dyDescent="0.35">
      <c r="A36" s="37" t="s">
        <v>93</v>
      </c>
      <c r="B36" s="38" t="s">
        <v>94</v>
      </c>
      <c r="C36" s="116">
        <f t="shared" si="1"/>
        <v>2.5367156208277704E-3</v>
      </c>
      <c r="D36" s="117"/>
      <c r="E36" s="117"/>
      <c r="F36" s="117"/>
      <c r="G36" s="117"/>
      <c r="H36" s="117"/>
      <c r="I36" s="117"/>
      <c r="J36" s="118"/>
    </row>
    <row r="39" spans="1:18" x14ac:dyDescent="0.35">
      <c r="A39" s="91">
        <v>46009</v>
      </c>
      <c r="B39" s="92"/>
      <c r="C39" s="93" t="s">
        <v>0</v>
      </c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</row>
    <row r="40" spans="1:18" ht="18.5" x14ac:dyDescent="0.35">
      <c r="A40" s="72" t="s">
        <v>1</v>
      </c>
      <c r="B40" s="73"/>
      <c r="C40" s="64" t="s">
        <v>2</v>
      </c>
      <c r="D40" s="65"/>
      <c r="E40" s="65"/>
      <c r="F40" s="65"/>
      <c r="G40" s="65"/>
      <c r="H40" s="65"/>
      <c r="I40" s="65"/>
      <c r="J40" s="66"/>
      <c r="K40" s="67" t="s">
        <v>3</v>
      </c>
      <c r="L40" s="68"/>
      <c r="M40" s="68"/>
      <c r="N40" s="68"/>
      <c r="O40" s="68"/>
      <c r="P40" s="68"/>
      <c r="Q40" s="68"/>
      <c r="R40" s="69"/>
    </row>
    <row r="41" spans="1:18" ht="18.5" x14ac:dyDescent="0.35">
      <c r="A41" s="72" t="s">
        <v>86</v>
      </c>
      <c r="B41" s="73"/>
      <c r="C41" s="64" t="s">
        <v>65</v>
      </c>
      <c r="D41" s="65"/>
      <c r="E41" s="65"/>
      <c r="F41" s="65"/>
      <c r="G41" s="65"/>
      <c r="H41" s="65"/>
      <c r="I41" s="65"/>
      <c r="J41" s="66"/>
      <c r="K41" s="67" t="s">
        <v>66</v>
      </c>
      <c r="L41" s="68"/>
      <c r="M41" s="68"/>
      <c r="N41" s="68"/>
      <c r="O41" s="68"/>
      <c r="P41" s="68"/>
      <c r="Q41" s="68"/>
      <c r="R41" s="69"/>
    </row>
    <row r="42" spans="1:18" ht="18.5" x14ac:dyDescent="0.35">
      <c r="A42" s="72" t="s">
        <v>87</v>
      </c>
      <c r="B42" s="73"/>
      <c r="C42" s="64" t="s">
        <v>59</v>
      </c>
      <c r="D42" s="65"/>
      <c r="E42" s="65"/>
      <c r="F42" s="65"/>
      <c r="G42" s="65"/>
      <c r="H42" s="65"/>
      <c r="I42" s="65"/>
      <c r="J42" s="66"/>
      <c r="K42" s="67" t="s">
        <v>60</v>
      </c>
      <c r="L42" s="68"/>
      <c r="M42" s="68"/>
      <c r="N42" s="68"/>
      <c r="O42" s="68"/>
      <c r="P42" s="68"/>
      <c r="Q42" s="68"/>
      <c r="R42" s="69"/>
    </row>
    <row r="43" spans="1:18" ht="18.5" x14ac:dyDescent="0.35">
      <c r="A43" s="72" t="s">
        <v>18</v>
      </c>
      <c r="B43" s="73"/>
      <c r="C43" s="64" t="s">
        <v>98</v>
      </c>
      <c r="D43" s="65"/>
      <c r="E43" s="65"/>
      <c r="F43" s="65"/>
      <c r="G43" s="65"/>
      <c r="H43" s="65"/>
      <c r="I43" s="65"/>
      <c r="J43" s="66"/>
      <c r="K43" s="67" t="s">
        <v>98</v>
      </c>
      <c r="L43" s="68"/>
      <c r="M43" s="68"/>
      <c r="N43" s="68"/>
      <c r="O43" s="68"/>
      <c r="P43" s="68"/>
      <c r="Q43" s="68"/>
      <c r="R43" s="69"/>
    </row>
    <row r="44" spans="1:18" ht="16" x14ac:dyDescent="0.35">
      <c r="A44" s="72" t="s">
        <v>21</v>
      </c>
      <c r="B44" s="73"/>
      <c r="C44" s="15">
        <v>361</v>
      </c>
      <c r="D44" s="111">
        <v>307</v>
      </c>
      <c r="E44" s="112"/>
      <c r="F44" s="111">
        <v>361</v>
      </c>
      <c r="G44" s="112"/>
      <c r="H44" s="111">
        <v>307</v>
      </c>
      <c r="I44" s="112"/>
      <c r="J44" s="15">
        <v>361</v>
      </c>
      <c r="K44" s="14">
        <v>361</v>
      </c>
      <c r="L44" s="105">
        <v>307</v>
      </c>
      <c r="M44" s="106"/>
      <c r="N44" s="105">
        <v>361</v>
      </c>
      <c r="O44" s="106"/>
      <c r="P44" s="105">
        <v>307</v>
      </c>
      <c r="Q44" s="106"/>
      <c r="R44" s="14">
        <v>361</v>
      </c>
    </row>
    <row r="45" spans="1:18" ht="18.5" x14ac:dyDescent="0.35">
      <c r="A45" s="72" t="s">
        <v>11</v>
      </c>
      <c r="B45" s="73"/>
      <c r="C45" s="16">
        <v>1</v>
      </c>
      <c r="D45" s="16">
        <v>2</v>
      </c>
      <c r="E45" s="16">
        <v>3</v>
      </c>
      <c r="F45" s="16">
        <v>4</v>
      </c>
      <c r="G45" s="16">
        <v>5</v>
      </c>
      <c r="H45" s="16">
        <v>6</v>
      </c>
      <c r="I45" s="16">
        <v>7</v>
      </c>
      <c r="J45" s="16">
        <v>8</v>
      </c>
      <c r="K45" s="6">
        <v>1</v>
      </c>
      <c r="L45" s="6">
        <v>2</v>
      </c>
      <c r="M45" s="6">
        <v>3</v>
      </c>
      <c r="N45" s="6">
        <v>4</v>
      </c>
      <c r="O45" s="6">
        <v>5</v>
      </c>
      <c r="P45" s="6">
        <v>6</v>
      </c>
      <c r="Q45" s="6">
        <v>7</v>
      </c>
      <c r="R45" s="6">
        <v>8</v>
      </c>
    </row>
    <row r="46" spans="1:18" x14ac:dyDescent="0.35">
      <c r="A46" s="42" t="s">
        <v>12</v>
      </c>
      <c r="B46" s="43" t="s">
        <v>13</v>
      </c>
      <c r="C46" s="44">
        <v>118</v>
      </c>
      <c r="D46" s="44">
        <v>46</v>
      </c>
      <c r="E46" s="44">
        <v>81</v>
      </c>
      <c r="F46" s="44">
        <v>85</v>
      </c>
      <c r="G46" s="44">
        <v>91</v>
      </c>
      <c r="H46" s="44">
        <v>51</v>
      </c>
      <c r="I46" s="44">
        <v>83</v>
      </c>
      <c r="J46" s="44">
        <v>79</v>
      </c>
      <c r="K46" s="44">
        <v>98</v>
      </c>
      <c r="L46" s="44">
        <v>38</v>
      </c>
      <c r="M46" s="44">
        <v>66</v>
      </c>
      <c r="N46" s="44">
        <v>70</v>
      </c>
      <c r="O46" s="44">
        <v>75</v>
      </c>
      <c r="P46" s="44">
        <v>42</v>
      </c>
      <c r="Q46" s="44">
        <v>68</v>
      </c>
      <c r="R46" s="44">
        <v>64</v>
      </c>
    </row>
    <row r="47" spans="1:18" x14ac:dyDescent="0.35">
      <c r="A47" s="42" t="s">
        <v>14</v>
      </c>
      <c r="B47" s="43" t="s">
        <v>13</v>
      </c>
      <c r="C47" s="44">
        <v>2</v>
      </c>
      <c r="D47" s="44">
        <v>1</v>
      </c>
      <c r="E47" s="44">
        <v>1</v>
      </c>
      <c r="F47" s="44">
        <v>1</v>
      </c>
      <c r="G47" s="44">
        <v>2</v>
      </c>
      <c r="H47" s="44">
        <v>3</v>
      </c>
      <c r="I47" s="44">
        <v>0</v>
      </c>
      <c r="J47" s="44">
        <v>0</v>
      </c>
      <c r="K47" s="44">
        <v>0</v>
      </c>
      <c r="L47" s="44">
        <v>1</v>
      </c>
      <c r="M47" s="44">
        <v>1</v>
      </c>
      <c r="N47" s="44">
        <v>1</v>
      </c>
      <c r="O47" s="44">
        <v>2</v>
      </c>
      <c r="P47" s="44">
        <v>5</v>
      </c>
      <c r="Q47" s="44">
        <v>0</v>
      </c>
      <c r="R47" s="44">
        <v>0</v>
      </c>
    </row>
    <row r="48" spans="1:18" x14ac:dyDescent="0.35">
      <c r="A48" s="42" t="s">
        <v>15</v>
      </c>
      <c r="B48" s="43" t="s">
        <v>13</v>
      </c>
      <c r="C48" s="44">
        <v>1</v>
      </c>
      <c r="D48" s="44">
        <v>1</v>
      </c>
      <c r="E48" s="44">
        <v>0</v>
      </c>
      <c r="F48" s="44">
        <v>1</v>
      </c>
      <c r="G48" s="44">
        <v>0</v>
      </c>
      <c r="H48" s="44">
        <v>0</v>
      </c>
      <c r="I48" s="44">
        <v>2</v>
      </c>
      <c r="J48" s="44">
        <v>2</v>
      </c>
      <c r="K48" s="44">
        <v>0</v>
      </c>
      <c r="L48" s="44">
        <v>1</v>
      </c>
      <c r="M48" s="44">
        <v>0</v>
      </c>
      <c r="N48" s="44">
        <v>1</v>
      </c>
      <c r="O48" s="44">
        <v>0</v>
      </c>
      <c r="P48" s="44">
        <v>0</v>
      </c>
      <c r="Q48" s="44">
        <v>3</v>
      </c>
      <c r="R48" s="44">
        <v>4</v>
      </c>
    </row>
    <row r="49" spans="1:18" x14ac:dyDescent="0.35">
      <c r="A49" s="42" t="s">
        <v>16</v>
      </c>
      <c r="B49" s="43" t="s">
        <v>13</v>
      </c>
      <c r="C49" s="44">
        <v>0</v>
      </c>
      <c r="D49" s="44">
        <v>0</v>
      </c>
      <c r="E49" s="44">
        <v>0</v>
      </c>
      <c r="F49" s="44">
        <v>1</v>
      </c>
      <c r="G49" s="44">
        <v>0</v>
      </c>
      <c r="H49" s="44">
        <v>0</v>
      </c>
      <c r="I49" s="44">
        <v>2</v>
      </c>
      <c r="J49" s="44">
        <v>0</v>
      </c>
      <c r="K49" s="44">
        <v>0</v>
      </c>
      <c r="L49" s="44">
        <v>0</v>
      </c>
      <c r="M49" s="44">
        <v>0</v>
      </c>
      <c r="N49" s="44">
        <v>1</v>
      </c>
      <c r="O49" s="44">
        <v>0</v>
      </c>
      <c r="P49" s="44">
        <v>0</v>
      </c>
      <c r="Q49" s="44">
        <v>2</v>
      </c>
      <c r="R49" s="44">
        <v>0</v>
      </c>
    </row>
    <row r="50" spans="1:18" x14ac:dyDescent="0.35">
      <c r="A50" s="45" t="s">
        <v>90</v>
      </c>
      <c r="B50" s="46" t="s">
        <v>13</v>
      </c>
      <c r="C50" s="113">
        <v>61600</v>
      </c>
      <c r="D50" s="114"/>
      <c r="E50" s="114"/>
      <c r="F50" s="114"/>
      <c r="G50" s="114"/>
      <c r="H50" s="114"/>
      <c r="I50" s="114"/>
      <c r="J50" s="115"/>
      <c r="K50" s="113">
        <v>56600</v>
      </c>
      <c r="L50" s="114"/>
      <c r="M50" s="114"/>
      <c r="N50" s="114"/>
      <c r="O50" s="114"/>
      <c r="P50" s="114"/>
      <c r="Q50" s="114"/>
      <c r="R50" s="115"/>
    </row>
    <row r="51" spans="1:18" x14ac:dyDescent="0.35">
      <c r="A51" s="45" t="s">
        <v>91</v>
      </c>
      <c r="B51" s="46" t="s">
        <v>13</v>
      </c>
      <c r="C51" s="113">
        <v>625</v>
      </c>
      <c r="D51" s="114"/>
      <c r="E51" s="114"/>
      <c r="F51" s="114"/>
      <c r="G51" s="114"/>
      <c r="H51" s="114"/>
      <c r="I51" s="114"/>
      <c r="J51" s="115"/>
      <c r="K51" s="113">
        <v>575</v>
      </c>
      <c r="L51" s="114"/>
      <c r="M51" s="114"/>
      <c r="N51" s="114"/>
      <c r="O51" s="114"/>
      <c r="P51" s="114"/>
      <c r="Q51" s="114"/>
      <c r="R51" s="115"/>
    </row>
    <row r="52" spans="1:18" x14ac:dyDescent="0.35">
      <c r="A52" s="45" t="s">
        <v>92</v>
      </c>
      <c r="B52" s="46" t="s">
        <v>13</v>
      </c>
      <c r="C52" s="113">
        <v>0</v>
      </c>
      <c r="D52" s="114"/>
      <c r="E52" s="114"/>
      <c r="F52" s="114"/>
      <c r="G52" s="114"/>
      <c r="H52" s="114"/>
      <c r="I52" s="114"/>
      <c r="J52" s="115"/>
      <c r="K52" s="113">
        <v>0</v>
      </c>
      <c r="L52" s="114"/>
      <c r="M52" s="114"/>
      <c r="N52" s="114"/>
      <c r="O52" s="114"/>
      <c r="P52" s="114"/>
      <c r="Q52" s="114"/>
      <c r="R52" s="115"/>
    </row>
    <row r="53" spans="1:18" x14ac:dyDescent="0.35">
      <c r="A53" s="45" t="s">
        <v>93</v>
      </c>
      <c r="B53" s="46" t="s">
        <v>13</v>
      </c>
      <c r="C53" s="113">
        <v>625</v>
      </c>
      <c r="D53" s="114"/>
      <c r="E53" s="114"/>
      <c r="F53" s="114"/>
      <c r="G53" s="114"/>
      <c r="H53" s="114"/>
      <c r="I53" s="114"/>
      <c r="J53" s="115"/>
      <c r="K53" s="113">
        <v>575</v>
      </c>
      <c r="L53" s="114"/>
      <c r="M53" s="114"/>
      <c r="N53" s="114"/>
      <c r="O53" s="114"/>
      <c r="P53" s="114"/>
      <c r="Q53" s="114"/>
      <c r="R53" s="115"/>
    </row>
    <row r="54" spans="1:18" x14ac:dyDescent="0.35">
      <c r="A54" s="37" t="s">
        <v>91</v>
      </c>
      <c r="B54" s="38" t="s">
        <v>94</v>
      </c>
      <c r="C54" s="116">
        <f>C51/C$12</f>
        <v>8.4345479082321186E-3</v>
      </c>
      <c r="D54" s="117"/>
      <c r="E54" s="117"/>
      <c r="F54" s="117"/>
      <c r="G54" s="117"/>
      <c r="H54" s="117"/>
      <c r="I54" s="117"/>
      <c r="J54" s="118"/>
      <c r="K54" s="116">
        <f>K51/K$12</f>
        <v>8.9843749999999993E-3</v>
      </c>
      <c r="L54" s="117"/>
      <c r="M54" s="117"/>
      <c r="N54" s="117"/>
      <c r="O54" s="117"/>
      <c r="P54" s="117"/>
      <c r="Q54" s="117"/>
      <c r="R54" s="118"/>
    </row>
    <row r="55" spans="1:18" x14ac:dyDescent="0.35">
      <c r="A55" s="37" t="s">
        <v>92</v>
      </c>
      <c r="B55" s="38" t="s">
        <v>94</v>
      </c>
      <c r="C55" s="116">
        <f>C52/C$12</f>
        <v>0</v>
      </c>
      <c r="D55" s="117"/>
      <c r="E55" s="117"/>
      <c r="F55" s="117"/>
      <c r="G55" s="117"/>
      <c r="H55" s="117"/>
      <c r="I55" s="117"/>
      <c r="J55" s="118"/>
      <c r="K55" s="116">
        <f>K52/K$12</f>
        <v>0</v>
      </c>
      <c r="L55" s="117"/>
      <c r="M55" s="117"/>
      <c r="N55" s="117"/>
      <c r="O55" s="117"/>
      <c r="P55" s="117"/>
      <c r="Q55" s="117"/>
      <c r="R55" s="118"/>
    </row>
    <row r="56" spans="1:18" x14ac:dyDescent="0.35">
      <c r="A56" s="37" t="s">
        <v>93</v>
      </c>
      <c r="B56" s="38" t="s">
        <v>94</v>
      </c>
      <c r="C56" s="116">
        <f>C53/C$12</f>
        <v>8.4345479082321186E-3</v>
      </c>
      <c r="D56" s="117"/>
      <c r="E56" s="117"/>
      <c r="F56" s="117"/>
      <c r="G56" s="117"/>
      <c r="H56" s="117"/>
      <c r="I56" s="117"/>
      <c r="J56" s="118"/>
      <c r="K56" s="116">
        <f>K53/K$12</f>
        <v>8.9843749999999993E-3</v>
      </c>
      <c r="L56" s="117"/>
      <c r="M56" s="117"/>
      <c r="N56" s="117"/>
      <c r="O56" s="117"/>
      <c r="P56" s="117"/>
      <c r="Q56" s="117"/>
      <c r="R56" s="118"/>
    </row>
    <row r="57" spans="1:18" x14ac:dyDescent="0.35">
      <c r="E57" t="s">
        <v>99</v>
      </c>
      <c r="G57" s="120">
        <v>0.29018518518518521</v>
      </c>
      <c r="H57" s="120"/>
    </row>
    <row r="58" spans="1:18" x14ac:dyDescent="0.35">
      <c r="E58" t="s">
        <v>100</v>
      </c>
      <c r="G58" t="s">
        <v>101</v>
      </c>
    </row>
    <row r="59" spans="1:18" x14ac:dyDescent="0.35">
      <c r="A59" s="91">
        <v>46010</v>
      </c>
      <c r="B59" s="92"/>
      <c r="C59" s="93" t="s">
        <v>0</v>
      </c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</row>
    <row r="60" spans="1:18" ht="18.5" x14ac:dyDescent="0.35">
      <c r="A60" s="72" t="s">
        <v>1</v>
      </c>
      <c r="B60" s="73"/>
      <c r="C60" s="64" t="s">
        <v>2</v>
      </c>
      <c r="D60" s="65"/>
      <c r="E60" s="65"/>
      <c r="F60" s="65"/>
      <c r="G60" s="65"/>
      <c r="H60" s="65"/>
      <c r="I60" s="65"/>
      <c r="J60" s="66"/>
      <c r="K60" s="67" t="s">
        <v>3</v>
      </c>
      <c r="L60" s="68"/>
      <c r="M60" s="68"/>
      <c r="N60" s="68"/>
      <c r="O60" s="68"/>
      <c r="P60" s="68"/>
      <c r="Q60" s="68"/>
      <c r="R60" s="69"/>
    </row>
    <row r="61" spans="1:18" ht="18.5" x14ac:dyDescent="0.35">
      <c r="A61" s="72" t="s">
        <v>86</v>
      </c>
      <c r="B61" s="73"/>
      <c r="C61" s="64" t="s">
        <v>73</v>
      </c>
      <c r="D61" s="65"/>
      <c r="E61" s="65"/>
      <c r="F61" s="65"/>
      <c r="G61" s="65"/>
      <c r="H61" s="65"/>
      <c r="I61" s="65"/>
      <c r="J61" s="66"/>
      <c r="K61" s="67" t="s">
        <v>74</v>
      </c>
      <c r="L61" s="68"/>
      <c r="M61" s="68"/>
      <c r="N61" s="68"/>
      <c r="O61" s="68"/>
      <c r="P61" s="68"/>
      <c r="Q61" s="68"/>
      <c r="R61" s="69"/>
    </row>
    <row r="62" spans="1:18" ht="18.5" x14ac:dyDescent="0.35">
      <c r="A62" s="72" t="s">
        <v>87</v>
      </c>
      <c r="B62" s="73"/>
      <c r="C62" s="64" t="s">
        <v>70</v>
      </c>
      <c r="D62" s="65"/>
      <c r="E62" s="65"/>
      <c r="F62" s="65"/>
      <c r="G62" s="65"/>
      <c r="H62" s="65"/>
      <c r="I62" s="65"/>
      <c r="J62" s="66"/>
      <c r="K62" s="67" t="s">
        <v>71</v>
      </c>
      <c r="L62" s="68"/>
      <c r="M62" s="68"/>
      <c r="N62" s="68"/>
      <c r="O62" s="68"/>
      <c r="P62" s="68"/>
      <c r="Q62" s="68"/>
      <c r="R62" s="69"/>
    </row>
    <row r="63" spans="1:18" ht="18.5" x14ac:dyDescent="0.35">
      <c r="A63" s="72" t="s">
        <v>18</v>
      </c>
      <c r="B63" s="73"/>
      <c r="C63" s="64" t="s">
        <v>98</v>
      </c>
      <c r="D63" s="65"/>
      <c r="E63" s="65"/>
      <c r="F63" s="65"/>
      <c r="G63" s="65"/>
      <c r="H63" s="65"/>
      <c r="I63" s="65"/>
      <c r="J63" s="66"/>
      <c r="K63" s="67" t="s">
        <v>98</v>
      </c>
      <c r="L63" s="68"/>
      <c r="M63" s="68"/>
      <c r="N63" s="68"/>
      <c r="O63" s="68"/>
      <c r="P63" s="68"/>
      <c r="Q63" s="68"/>
      <c r="R63" s="69"/>
    </row>
    <row r="64" spans="1:18" ht="16" x14ac:dyDescent="0.35">
      <c r="A64" s="72" t="s">
        <v>21</v>
      </c>
      <c r="B64" s="73"/>
      <c r="C64" s="15">
        <v>361</v>
      </c>
      <c r="D64" s="111">
        <v>307</v>
      </c>
      <c r="E64" s="112"/>
      <c r="F64" s="111">
        <v>361</v>
      </c>
      <c r="G64" s="112"/>
      <c r="H64" s="111">
        <v>307</v>
      </c>
      <c r="I64" s="112"/>
      <c r="J64" s="15">
        <v>361</v>
      </c>
      <c r="K64" s="14">
        <v>361</v>
      </c>
      <c r="L64" s="105">
        <v>307</v>
      </c>
      <c r="M64" s="106"/>
      <c r="N64" s="105">
        <v>361</v>
      </c>
      <c r="O64" s="106"/>
      <c r="P64" s="105">
        <v>307</v>
      </c>
      <c r="Q64" s="106"/>
      <c r="R64" s="14">
        <v>361</v>
      </c>
    </row>
    <row r="65" spans="1:18" ht="18.5" x14ac:dyDescent="0.35">
      <c r="A65" s="72" t="s">
        <v>11</v>
      </c>
      <c r="B65" s="73"/>
      <c r="C65" s="16">
        <v>1</v>
      </c>
      <c r="D65" s="16">
        <v>2</v>
      </c>
      <c r="E65" s="16">
        <v>3</v>
      </c>
      <c r="F65" s="16">
        <v>4</v>
      </c>
      <c r="G65" s="16">
        <v>5</v>
      </c>
      <c r="H65" s="16">
        <v>6</v>
      </c>
      <c r="I65" s="16">
        <v>7</v>
      </c>
      <c r="J65" s="16">
        <v>8</v>
      </c>
      <c r="K65" s="6">
        <v>1</v>
      </c>
      <c r="L65" s="6">
        <v>2</v>
      </c>
      <c r="M65" s="6">
        <v>3</v>
      </c>
      <c r="N65" s="6">
        <v>4</v>
      </c>
      <c r="O65" s="6">
        <v>5</v>
      </c>
      <c r="P65" s="6">
        <v>6</v>
      </c>
      <c r="Q65" s="6">
        <v>7</v>
      </c>
      <c r="R65" s="6">
        <v>8</v>
      </c>
    </row>
    <row r="66" spans="1:18" x14ac:dyDescent="0.35">
      <c r="A66" s="42" t="s">
        <v>12</v>
      </c>
      <c r="B66" s="43" t="s">
        <v>13</v>
      </c>
      <c r="C66" s="44">
        <v>67</v>
      </c>
      <c r="D66" s="44">
        <v>59</v>
      </c>
      <c r="E66" s="44">
        <v>55</v>
      </c>
      <c r="F66" s="44">
        <v>62</v>
      </c>
      <c r="G66" s="44">
        <v>55</v>
      </c>
      <c r="H66" s="44">
        <v>46</v>
      </c>
      <c r="I66" s="44">
        <v>52</v>
      </c>
      <c r="J66" s="44">
        <v>73</v>
      </c>
      <c r="K66" s="44">
        <v>82</v>
      </c>
      <c r="L66" s="44">
        <v>12</v>
      </c>
      <c r="M66" s="44">
        <v>24</v>
      </c>
      <c r="N66" s="44">
        <v>83</v>
      </c>
      <c r="O66" s="44">
        <v>103</v>
      </c>
      <c r="P66" s="44">
        <v>16</v>
      </c>
      <c r="Q66" s="44">
        <v>35</v>
      </c>
      <c r="R66" s="44">
        <v>88</v>
      </c>
    </row>
    <row r="67" spans="1:18" x14ac:dyDescent="0.35">
      <c r="A67" s="42" t="s">
        <v>14</v>
      </c>
      <c r="B67" s="43" t="s">
        <v>13</v>
      </c>
      <c r="C67" s="44">
        <v>0</v>
      </c>
      <c r="D67" s="44">
        <v>1</v>
      </c>
      <c r="E67" s="44">
        <v>2</v>
      </c>
      <c r="F67" s="44">
        <v>1</v>
      </c>
      <c r="G67" s="44">
        <v>0</v>
      </c>
      <c r="H67" s="44">
        <v>1</v>
      </c>
      <c r="I67" s="44">
        <v>0</v>
      </c>
      <c r="J67" s="44">
        <v>0</v>
      </c>
      <c r="K67" s="44">
        <v>1</v>
      </c>
      <c r="L67" s="44">
        <v>0</v>
      </c>
      <c r="M67" s="44">
        <v>0</v>
      </c>
      <c r="N67" s="44">
        <v>3</v>
      </c>
      <c r="O67" s="44">
        <v>0</v>
      </c>
      <c r="P67" s="44">
        <v>0</v>
      </c>
      <c r="Q67" s="44">
        <v>0</v>
      </c>
      <c r="R67" s="44">
        <v>0</v>
      </c>
    </row>
    <row r="68" spans="1:18" x14ac:dyDescent="0.35">
      <c r="A68" s="42" t="s">
        <v>15</v>
      </c>
      <c r="B68" s="43" t="s">
        <v>13</v>
      </c>
      <c r="C68" s="44">
        <v>4</v>
      </c>
      <c r="D68" s="44">
        <v>2</v>
      </c>
      <c r="E68" s="44">
        <v>1</v>
      </c>
      <c r="F68" s="44">
        <v>0</v>
      </c>
      <c r="G68" s="44">
        <v>1</v>
      </c>
      <c r="H68" s="44">
        <v>1</v>
      </c>
      <c r="I68" s="44">
        <v>1</v>
      </c>
      <c r="J68" s="44">
        <v>2</v>
      </c>
      <c r="K68" s="44">
        <v>1</v>
      </c>
      <c r="L68" s="44">
        <v>1</v>
      </c>
      <c r="M68" s="44">
        <v>0</v>
      </c>
      <c r="N68" s="44">
        <v>0</v>
      </c>
      <c r="O68" s="44">
        <v>0</v>
      </c>
      <c r="P68" s="44">
        <v>1</v>
      </c>
      <c r="Q68" s="44">
        <v>2</v>
      </c>
      <c r="R68" s="44">
        <v>1</v>
      </c>
    </row>
    <row r="69" spans="1:18" x14ac:dyDescent="0.35">
      <c r="A69" s="42" t="s">
        <v>16</v>
      </c>
      <c r="B69" s="43" t="s">
        <v>13</v>
      </c>
      <c r="C69" s="44">
        <v>0</v>
      </c>
      <c r="D69" s="44">
        <v>0</v>
      </c>
      <c r="E69" s="44">
        <v>0</v>
      </c>
      <c r="F69" s="44">
        <v>2</v>
      </c>
      <c r="G69" s="44">
        <v>1</v>
      </c>
      <c r="H69" s="44">
        <v>0</v>
      </c>
      <c r="I69" s="44">
        <v>1</v>
      </c>
      <c r="J69" s="44">
        <v>0</v>
      </c>
      <c r="K69" s="44">
        <v>0</v>
      </c>
      <c r="L69" s="44">
        <v>1</v>
      </c>
      <c r="M69" s="44">
        <v>0</v>
      </c>
      <c r="N69" s="44">
        <v>0</v>
      </c>
      <c r="O69" s="44">
        <v>0</v>
      </c>
      <c r="P69" s="44">
        <v>0</v>
      </c>
      <c r="Q69" s="44">
        <v>0</v>
      </c>
      <c r="R69" s="44">
        <v>1</v>
      </c>
    </row>
    <row r="70" spans="1:18" x14ac:dyDescent="0.35">
      <c r="A70" s="45" t="s">
        <v>90</v>
      </c>
      <c r="B70" s="46" t="s">
        <v>13</v>
      </c>
      <c r="C70" s="113">
        <v>52100</v>
      </c>
      <c r="D70" s="114"/>
      <c r="E70" s="114"/>
      <c r="F70" s="114"/>
      <c r="G70" s="114"/>
      <c r="H70" s="114"/>
      <c r="I70" s="114"/>
      <c r="J70" s="115"/>
      <c r="K70" s="113">
        <v>55600</v>
      </c>
      <c r="L70" s="114"/>
      <c r="M70" s="114"/>
      <c r="N70" s="114"/>
      <c r="O70" s="114"/>
      <c r="P70" s="114"/>
      <c r="Q70" s="114"/>
      <c r="R70" s="115"/>
    </row>
    <row r="71" spans="1:18" x14ac:dyDescent="0.35">
      <c r="A71" s="45" t="s">
        <v>91</v>
      </c>
      <c r="B71" s="46" t="s">
        <v>13</v>
      </c>
      <c r="C71" s="113">
        <v>346</v>
      </c>
      <c r="D71" s="114"/>
      <c r="E71" s="114"/>
      <c r="F71" s="114"/>
      <c r="G71" s="114"/>
      <c r="H71" s="114"/>
      <c r="I71" s="114"/>
      <c r="J71" s="115"/>
      <c r="K71" s="113">
        <v>372</v>
      </c>
      <c r="L71" s="114"/>
      <c r="M71" s="114"/>
      <c r="N71" s="114"/>
      <c r="O71" s="114"/>
      <c r="P71" s="114"/>
      <c r="Q71" s="114"/>
      <c r="R71" s="115"/>
    </row>
    <row r="72" spans="1:18" x14ac:dyDescent="0.35">
      <c r="A72" s="45" t="s">
        <v>92</v>
      </c>
      <c r="B72" s="46" t="s">
        <v>13</v>
      </c>
      <c r="C72" s="113">
        <v>0</v>
      </c>
      <c r="D72" s="114"/>
      <c r="E72" s="114"/>
      <c r="F72" s="114"/>
      <c r="G72" s="114"/>
      <c r="H72" s="114"/>
      <c r="I72" s="114"/>
      <c r="J72" s="115"/>
      <c r="K72" s="113">
        <v>0</v>
      </c>
      <c r="L72" s="114"/>
      <c r="M72" s="114"/>
      <c r="N72" s="114"/>
      <c r="O72" s="114"/>
      <c r="P72" s="114"/>
      <c r="Q72" s="114"/>
      <c r="R72" s="115"/>
    </row>
    <row r="73" spans="1:18" x14ac:dyDescent="0.35">
      <c r="A73" s="45" t="s">
        <v>93</v>
      </c>
      <c r="B73" s="46" t="s">
        <v>13</v>
      </c>
      <c r="C73" s="113">
        <v>346</v>
      </c>
      <c r="D73" s="114"/>
      <c r="E73" s="114"/>
      <c r="F73" s="114"/>
      <c r="G73" s="114"/>
      <c r="H73" s="114"/>
      <c r="I73" s="114"/>
      <c r="J73" s="115"/>
      <c r="K73" s="113">
        <v>372</v>
      </c>
      <c r="L73" s="114"/>
      <c r="M73" s="114"/>
      <c r="N73" s="114"/>
      <c r="O73" s="114"/>
      <c r="P73" s="114"/>
      <c r="Q73" s="114"/>
      <c r="R73" s="115"/>
    </row>
    <row r="74" spans="1:18" x14ac:dyDescent="0.35">
      <c r="A74" s="37" t="s">
        <v>91</v>
      </c>
      <c r="B74" s="38" t="s">
        <v>94</v>
      </c>
      <c r="C74" s="116">
        <f>C71/C$12</f>
        <v>4.6693657219973013E-3</v>
      </c>
      <c r="D74" s="117"/>
      <c r="E74" s="117"/>
      <c r="F74" s="117"/>
      <c r="G74" s="117"/>
      <c r="H74" s="117"/>
      <c r="I74" s="117"/>
      <c r="J74" s="118"/>
      <c r="K74" s="116">
        <f>K71/K$12</f>
        <v>5.8125E-3</v>
      </c>
      <c r="L74" s="117"/>
      <c r="M74" s="117"/>
      <c r="N74" s="117"/>
      <c r="O74" s="117"/>
      <c r="P74" s="117"/>
      <c r="Q74" s="117"/>
      <c r="R74" s="118"/>
    </row>
    <row r="75" spans="1:18" x14ac:dyDescent="0.35">
      <c r="A75" s="37" t="s">
        <v>92</v>
      </c>
      <c r="B75" s="38" t="s">
        <v>94</v>
      </c>
      <c r="C75" s="116">
        <f>C72/C$12</f>
        <v>0</v>
      </c>
      <c r="D75" s="117"/>
      <c r="E75" s="117"/>
      <c r="F75" s="117"/>
      <c r="G75" s="117"/>
      <c r="H75" s="117"/>
      <c r="I75" s="117"/>
      <c r="J75" s="118"/>
      <c r="K75" s="116">
        <f>K72/K$12</f>
        <v>0</v>
      </c>
      <c r="L75" s="117"/>
      <c r="M75" s="117"/>
      <c r="N75" s="117"/>
      <c r="O75" s="117"/>
      <c r="P75" s="117"/>
      <c r="Q75" s="117"/>
      <c r="R75" s="118"/>
    </row>
    <row r="76" spans="1:18" x14ac:dyDescent="0.35">
      <c r="A76" s="37" t="s">
        <v>93</v>
      </c>
      <c r="B76" s="38" t="s">
        <v>94</v>
      </c>
      <c r="C76" s="116">
        <f>C73/C$12</f>
        <v>4.6693657219973013E-3</v>
      </c>
      <c r="D76" s="117"/>
      <c r="E76" s="117"/>
      <c r="F76" s="117"/>
      <c r="G76" s="117"/>
      <c r="H76" s="117"/>
      <c r="I76" s="117"/>
      <c r="J76" s="118"/>
      <c r="K76" s="116">
        <f>K73/K$12</f>
        <v>5.8125E-3</v>
      </c>
      <c r="L76" s="117"/>
      <c r="M76" s="117"/>
      <c r="N76" s="117"/>
      <c r="O76" s="117"/>
      <c r="P76" s="117"/>
      <c r="Q76" s="117"/>
      <c r="R76" s="118"/>
    </row>
  </sheetData>
  <mergeCells count="155">
    <mergeCell ref="C74:J74"/>
    <mergeCell ref="K74:R74"/>
    <mergeCell ref="C75:J75"/>
    <mergeCell ref="K75:R75"/>
    <mergeCell ref="C76:J76"/>
    <mergeCell ref="K76:R76"/>
    <mergeCell ref="A65:B65"/>
    <mergeCell ref="C70:J70"/>
    <mergeCell ref="K70:R70"/>
    <mergeCell ref="C71:J71"/>
    <mergeCell ref="K71:R71"/>
    <mergeCell ref="C72:J72"/>
    <mergeCell ref="K72:R72"/>
    <mergeCell ref="C73:J73"/>
    <mergeCell ref="K73:R73"/>
    <mergeCell ref="A63:B63"/>
    <mergeCell ref="C63:J63"/>
    <mergeCell ref="K63:R63"/>
    <mergeCell ref="A64:B64"/>
    <mergeCell ref="D64:E64"/>
    <mergeCell ref="F64:G64"/>
    <mergeCell ref="H64:I64"/>
    <mergeCell ref="L64:M64"/>
    <mergeCell ref="N64:O64"/>
    <mergeCell ref="P64:Q64"/>
    <mergeCell ref="A60:B60"/>
    <mergeCell ref="C60:J60"/>
    <mergeCell ref="K60:R60"/>
    <mergeCell ref="A61:B61"/>
    <mergeCell ref="C61:J61"/>
    <mergeCell ref="K61:R61"/>
    <mergeCell ref="A62:B62"/>
    <mergeCell ref="C62:J62"/>
    <mergeCell ref="K62:R62"/>
    <mergeCell ref="A21:B21"/>
    <mergeCell ref="A43:B43"/>
    <mergeCell ref="C43:J43"/>
    <mergeCell ref="K43:R43"/>
    <mergeCell ref="C39:R39"/>
    <mergeCell ref="A59:B59"/>
    <mergeCell ref="C59:R59"/>
    <mergeCell ref="C33:J33"/>
    <mergeCell ref="C31:J31"/>
    <mergeCell ref="A40:B40"/>
    <mergeCell ref="A45:B45"/>
    <mergeCell ref="N44:O44"/>
    <mergeCell ref="P44:Q44"/>
    <mergeCell ref="A44:B44"/>
    <mergeCell ref="D44:E44"/>
    <mergeCell ref="F44:G44"/>
    <mergeCell ref="H44:I44"/>
    <mergeCell ref="L44:M44"/>
    <mergeCell ref="A42:B42"/>
    <mergeCell ref="C42:J42"/>
    <mergeCell ref="C51:J51"/>
    <mergeCell ref="K51:R51"/>
    <mergeCell ref="C52:J52"/>
    <mergeCell ref="G57:H57"/>
    <mergeCell ref="AA15:AH15"/>
    <mergeCell ref="S15:Z15"/>
    <mergeCell ref="C30:J30"/>
    <mergeCell ref="K16:R16"/>
    <mergeCell ref="C16:J16"/>
    <mergeCell ref="AA16:AH16"/>
    <mergeCell ref="S16:Z16"/>
    <mergeCell ref="K17:R17"/>
    <mergeCell ref="C17:J17"/>
    <mergeCell ref="AA17:AH17"/>
    <mergeCell ref="S18:Z18"/>
    <mergeCell ref="AA18:AH18"/>
    <mergeCell ref="C34:J34"/>
    <mergeCell ref="C35:J35"/>
    <mergeCell ref="C40:J40"/>
    <mergeCell ref="K40:R40"/>
    <mergeCell ref="C50:J50"/>
    <mergeCell ref="K50:R50"/>
    <mergeCell ref="C36:J36"/>
    <mergeCell ref="C15:J15"/>
    <mergeCell ref="C32:J32"/>
    <mergeCell ref="K15:R15"/>
    <mergeCell ref="K18:R18"/>
    <mergeCell ref="C18:J18"/>
    <mergeCell ref="C12:J12"/>
    <mergeCell ref="C13:J13"/>
    <mergeCell ref="H6:I6"/>
    <mergeCell ref="T6:U6"/>
    <mergeCell ref="S17:Z17"/>
    <mergeCell ref="S13:Z13"/>
    <mergeCell ref="C14:J14"/>
    <mergeCell ref="C21:J21"/>
    <mergeCell ref="K13:R13"/>
    <mergeCell ref="K14:R14"/>
    <mergeCell ref="AF6:AG6"/>
    <mergeCell ref="AB6:AC6"/>
    <mergeCell ref="AD6:AE6"/>
    <mergeCell ref="AA12:AH12"/>
    <mergeCell ref="S12:Z12"/>
    <mergeCell ref="AA13:AH13"/>
    <mergeCell ref="S14:Z14"/>
    <mergeCell ref="V6:W6"/>
    <mergeCell ref="X6:Y6"/>
    <mergeCell ref="AA14:AH14"/>
    <mergeCell ref="A1:B1"/>
    <mergeCell ref="C2:J2"/>
    <mergeCell ref="AA2:AH2"/>
    <mergeCell ref="S2:Z2"/>
    <mergeCell ref="C5:J5"/>
    <mergeCell ref="AA5:AH5"/>
    <mergeCell ref="S5:Z5"/>
    <mergeCell ref="C1:AH1"/>
    <mergeCell ref="A3:B3"/>
    <mergeCell ref="A4:B4"/>
    <mergeCell ref="C3:J3"/>
    <mergeCell ref="C4:J4"/>
    <mergeCell ref="K3:R3"/>
    <mergeCell ref="S3:Z3"/>
    <mergeCell ref="AA3:AH3"/>
    <mergeCell ref="A2:B2"/>
    <mergeCell ref="K2:R2"/>
    <mergeCell ref="A5:B5"/>
    <mergeCell ref="K5:R5"/>
    <mergeCell ref="K4:R4"/>
    <mergeCell ref="K52:R52"/>
    <mergeCell ref="C55:J55"/>
    <mergeCell ref="K55:R55"/>
    <mergeCell ref="C56:J56"/>
    <mergeCell ref="K56:R56"/>
    <mergeCell ref="C53:J53"/>
    <mergeCell ref="K53:R53"/>
    <mergeCell ref="C54:J54"/>
    <mergeCell ref="K54:R54"/>
    <mergeCell ref="K42:R42"/>
    <mergeCell ref="S4:Z4"/>
    <mergeCell ref="AA4:AH4"/>
    <mergeCell ref="A41:B41"/>
    <mergeCell ref="C41:J41"/>
    <mergeCell ref="K41:R41"/>
    <mergeCell ref="A22:B22"/>
    <mergeCell ref="A23:B23"/>
    <mergeCell ref="A24:B24"/>
    <mergeCell ref="A25:B25"/>
    <mergeCell ref="L6:M6"/>
    <mergeCell ref="C22:J22"/>
    <mergeCell ref="C23:J23"/>
    <mergeCell ref="D24:E24"/>
    <mergeCell ref="F24:G24"/>
    <mergeCell ref="H24:I24"/>
    <mergeCell ref="D6:E6"/>
    <mergeCell ref="F6:G6"/>
    <mergeCell ref="A39:B39"/>
    <mergeCell ref="A7:B7"/>
    <mergeCell ref="A6:B6"/>
    <mergeCell ref="N6:O6"/>
    <mergeCell ref="P6:Q6"/>
    <mergeCell ref="K12:R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A981-FBFE-4CB2-883F-DF51D15DD1BA}">
  <dimension ref="A1:V11"/>
  <sheetViews>
    <sheetView topLeftCell="C1" workbookViewId="0">
      <selection activeCell="C17" sqref="C17"/>
    </sheetView>
  </sheetViews>
  <sheetFormatPr defaultRowHeight="14.5" x14ac:dyDescent="0.35"/>
  <cols>
    <col min="1" max="1" width="11.1796875" customWidth="1"/>
    <col min="2" max="2" width="20" bestFit="1" customWidth="1"/>
    <col min="3" max="3" width="21.1796875" bestFit="1" customWidth="1"/>
    <col min="4" max="4" width="12.453125" bestFit="1" customWidth="1"/>
    <col min="5" max="5" width="13.54296875" bestFit="1" customWidth="1"/>
    <col min="6" max="6" width="11" customWidth="1"/>
    <col min="7" max="7" width="10.1796875" bestFit="1" customWidth="1"/>
    <col min="8" max="8" width="13.7265625" bestFit="1" customWidth="1"/>
    <col min="9" max="9" width="15.54296875" customWidth="1"/>
    <col min="10" max="10" width="12.81640625" customWidth="1"/>
    <col min="11" max="11" width="15.453125" bestFit="1" customWidth="1"/>
    <col min="12" max="12" width="17.453125" customWidth="1"/>
    <col min="13" max="13" width="18" customWidth="1"/>
    <col min="14" max="14" width="12.7265625" customWidth="1"/>
    <col min="15" max="15" width="13.1796875" customWidth="1"/>
    <col min="16" max="16" width="11.54296875" customWidth="1"/>
    <col min="17" max="17" width="11.1796875" customWidth="1"/>
    <col min="18" max="18" width="11.81640625" customWidth="1"/>
    <col min="19" max="19" width="13.1796875" customWidth="1"/>
  </cols>
  <sheetData>
    <row r="1" spans="1:22" x14ac:dyDescent="0.35">
      <c r="A1" s="21" t="s">
        <v>102</v>
      </c>
      <c r="B1" s="21" t="s">
        <v>103</v>
      </c>
      <c r="C1" s="21" t="s">
        <v>104</v>
      </c>
      <c r="D1" s="21" t="s">
        <v>105</v>
      </c>
      <c r="E1" s="21" t="s">
        <v>106</v>
      </c>
      <c r="F1" s="21" t="s">
        <v>107</v>
      </c>
      <c r="G1" s="21" t="s">
        <v>108</v>
      </c>
      <c r="H1" s="21" t="s">
        <v>109</v>
      </c>
      <c r="I1" s="21" t="s">
        <v>110</v>
      </c>
      <c r="J1" s="21" t="s">
        <v>111</v>
      </c>
      <c r="K1" s="21" t="s">
        <v>112</v>
      </c>
      <c r="L1" s="21" t="s">
        <v>113</v>
      </c>
      <c r="M1" s="21" t="s">
        <v>114</v>
      </c>
      <c r="N1" s="21" t="s">
        <v>115</v>
      </c>
      <c r="O1" s="21" t="s">
        <v>116</v>
      </c>
      <c r="P1" s="21" t="s">
        <v>117</v>
      </c>
      <c r="Q1" s="21" t="s">
        <v>118</v>
      </c>
      <c r="R1" s="21" t="s">
        <v>119</v>
      </c>
      <c r="S1" s="22" t="s">
        <v>120</v>
      </c>
      <c r="T1" t="s">
        <v>121</v>
      </c>
    </row>
    <row r="2" spans="1:22" x14ac:dyDescent="0.35">
      <c r="A2" s="23">
        <v>1</v>
      </c>
      <c r="B2" s="24">
        <v>46003.496527777781</v>
      </c>
      <c r="C2" s="24">
        <v>46003.017361111109</v>
      </c>
      <c r="D2" s="23" t="s">
        <v>20</v>
      </c>
      <c r="E2" s="61" t="s">
        <v>41</v>
      </c>
      <c r="F2" s="29" t="s">
        <v>27</v>
      </c>
      <c r="G2" s="23">
        <v>361</v>
      </c>
      <c r="H2" s="23">
        <v>140</v>
      </c>
      <c r="I2" s="23">
        <v>0</v>
      </c>
      <c r="J2" s="23">
        <v>13</v>
      </c>
      <c r="K2" s="23">
        <v>34</v>
      </c>
      <c r="L2" s="23">
        <v>187</v>
      </c>
      <c r="M2" s="23">
        <v>30</v>
      </c>
      <c r="N2" s="23">
        <v>74400</v>
      </c>
      <c r="O2" s="23">
        <v>1065</v>
      </c>
      <c r="P2" s="23">
        <v>0</v>
      </c>
      <c r="Q2" s="23">
        <v>1065</v>
      </c>
      <c r="R2" s="39">
        <f t="shared" ref="R2:R11" si="0">O2/N2</f>
        <v>1.4314516129032258E-2</v>
      </c>
      <c r="S2" s="25">
        <v>0</v>
      </c>
      <c r="T2" s="41">
        <f t="shared" ref="T2:T11" si="1">R2+S2</f>
        <v>1.4314516129032258E-2</v>
      </c>
    </row>
    <row r="3" spans="1:22" x14ac:dyDescent="0.35">
      <c r="A3" s="23">
        <v>1</v>
      </c>
      <c r="B3" s="24">
        <v>46003.496527777781</v>
      </c>
      <c r="C3" s="24">
        <v>46003.017361111109</v>
      </c>
      <c r="D3" s="23" t="s">
        <v>20</v>
      </c>
      <c r="E3" s="61" t="s">
        <v>122</v>
      </c>
      <c r="F3" s="29" t="s">
        <v>27</v>
      </c>
      <c r="G3" s="23">
        <v>730</v>
      </c>
      <c r="H3" s="23">
        <v>926</v>
      </c>
      <c r="I3" s="23">
        <v>4</v>
      </c>
      <c r="J3" s="23">
        <v>13</v>
      </c>
      <c r="K3" s="23">
        <v>34</v>
      </c>
      <c r="L3" s="23">
        <v>977</v>
      </c>
      <c r="M3" s="23">
        <v>30</v>
      </c>
      <c r="N3" s="23">
        <v>74400</v>
      </c>
      <c r="O3" s="23">
        <v>1065</v>
      </c>
      <c r="P3" s="23">
        <v>0</v>
      </c>
      <c r="Q3" s="23">
        <v>1065</v>
      </c>
      <c r="R3" s="39">
        <f t="shared" si="0"/>
        <v>1.4314516129032258E-2</v>
      </c>
      <c r="S3" s="25">
        <v>0</v>
      </c>
      <c r="T3" s="41">
        <f t="shared" si="1"/>
        <v>1.4314516129032258E-2</v>
      </c>
    </row>
    <row r="4" spans="1:22" x14ac:dyDescent="0.35">
      <c r="A4" s="23">
        <v>2</v>
      </c>
      <c r="B4" s="24">
        <v>46003.524305555555</v>
      </c>
      <c r="C4" s="26" t="s">
        <v>123</v>
      </c>
      <c r="D4" s="23" t="s">
        <v>124</v>
      </c>
      <c r="E4" s="63" t="s">
        <v>41</v>
      </c>
      <c r="F4" s="29" t="s">
        <v>27</v>
      </c>
      <c r="G4" s="23">
        <v>361</v>
      </c>
      <c r="H4" s="23">
        <v>163</v>
      </c>
      <c r="I4" s="23">
        <v>4</v>
      </c>
      <c r="J4" s="23">
        <v>11</v>
      </c>
      <c r="K4" s="23">
        <v>32</v>
      </c>
      <c r="L4" s="23">
        <v>210</v>
      </c>
      <c r="M4" s="23">
        <v>26</v>
      </c>
      <c r="N4" s="23">
        <v>63300</v>
      </c>
      <c r="O4" s="23">
        <v>912</v>
      </c>
      <c r="P4" s="23">
        <v>0</v>
      </c>
      <c r="Q4" s="23">
        <v>912</v>
      </c>
      <c r="R4" s="39">
        <f t="shared" si="0"/>
        <v>1.4407582938388626E-2</v>
      </c>
      <c r="S4" s="25">
        <v>0</v>
      </c>
      <c r="T4" s="41">
        <f t="shared" si="1"/>
        <v>1.4407582938388626E-2</v>
      </c>
    </row>
    <row r="5" spans="1:22" x14ac:dyDescent="0.35">
      <c r="A5" s="23">
        <v>2</v>
      </c>
      <c r="B5" s="24">
        <v>46004.524305555555</v>
      </c>
      <c r="C5" s="26" t="s">
        <v>123</v>
      </c>
      <c r="D5" s="23" t="s">
        <v>124</v>
      </c>
      <c r="E5" s="61" t="s">
        <v>125</v>
      </c>
      <c r="F5" s="29" t="s">
        <v>27</v>
      </c>
      <c r="G5" s="23">
        <v>730</v>
      </c>
      <c r="H5" s="23">
        <v>623</v>
      </c>
      <c r="I5" s="23">
        <v>7</v>
      </c>
      <c r="J5" s="23">
        <v>4</v>
      </c>
      <c r="K5" s="23">
        <v>47</v>
      </c>
      <c r="L5" s="23">
        <v>681</v>
      </c>
      <c r="M5" s="23">
        <v>26</v>
      </c>
      <c r="N5" s="23">
        <v>63300</v>
      </c>
      <c r="O5" s="23">
        <v>912</v>
      </c>
      <c r="P5" s="23">
        <v>0</v>
      </c>
      <c r="Q5" s="23">
        <v>912</v>
      </c>
      <c r="R5" s="39">
        <f t="shared" si="0"/>
        <v>1.4407582938388626E-2</v>
      </c>
      <c r="S5" s="25">
        <v>0</v>
      </c>
      <c r="T5" s="41">
        <f t="shared" si="1"/>
        <v>1.4407582938388626E-2</v>
      </c>
    </row>
    <row r="6" spans="1:22" x14ac:dyDescent="0.35">
      <c r="A6" s="23">
        <v>3</v>
      </c>
      <c r="B6" s="24">
        <v>46003.543055555558</v>
      </c>
      <c r="C6" s="24">
        <v>46003.569444444445</v>
      </c>
      <c r="D6" s="23" t="s">
        <v>20</v>
      </c>
      <c r="E6" s="61" t="s">
        <v>49</v>
      </c>
      <c r="F6" s="29" t="s">
        <v>27</v>
      </c>
      <c r="G6" s="23">
        <v>361</v>
      </c>
      <c r="H6" s="23">
        <v>912</v>
      </c>
      <c r="I6" s="23">
        <v>2</v>
      </c>
      <c r="J6" s="23">
        <v>315</v>
      </c>
      <c r="K6" s="23">
        <v>59</v>
      </c>
      <c r="L6" s="23">
        <v>1288</v>
      </c>
      <c r="M6" s="23">
        <v>40</v>
      </c>
      <c r="N6" s="23">
        <v>48400</v>
      </c>
      <c r="O6" s="23">
        <v>796</v>
      </c>
      <c r="P6" s="23">
        <v>1107</v>
      </c>
      <c r="Q6" s="23">
        <v>1903</v>
      </c>
      <c r="R6" s="39">
        <f t="shared" si="0"/>
        <v>1.6446280991735538E-2</v>
      </c>
      <c r="S6" s="40">
        <f>P6/N6</f>
        <v>2.287190082644628E-2</v>
      </c>
      <c r="T6" s="41">
        <f t="shared" si="1"/>
        <v>3.9318181818181822E-2</v>
      </c>
    </row>
    <row r="7" spans="1:22" x14ac:dyDescent="0.35">
      <c r="A7" s="23">
        <v>3</v>
      </c>
      <c r="B7" s="24">
        <v>46003.543055555558</v>
      </c>
      <c r="C7" s="24">
        <v>46003.569444444445</v>
      </c>
      <c r="D7" s="23" t="s">
        <v>20</v>
      </c>
      <c r="E7" s="61" t="s">
        <v>126</v>
      </c>
      <c r="F7" s="29" t="s">
        <v>27</v>
      </c>
      <c r="G7" s="23">
        <v>730</v>
      </c>
      <c r="H7" s="23">
        <v>1476</v>
      </c>
      <c r="I7" s="23">
        <v>8</v>
      </c>
      <c r="J7" s="23">
        <v>348</v>
      </c>
      <c r="K7" s="23">
        <v>63</v>
      </c>
      <c r="L7" s="23">
        <v>1895</v>
      </c>
      <c r="M7" s="23">
        <v>40</v>
      </c>
      <c r="N7" s="23">
        <v>48400</v>
      </c>
      <c r="O7" s="23">
        <v>796</v>
      </c>
      <c r="P7" s="23">
        <v>1107</v>
      </c>
      <c r="Q7" s="23">
        <v>1903</v>
      </c>
      <c r="R7" s="39">
        <f t="shared" si="0"/>
        <v>1.6446280991735538E-2</v>
      </c>
      <c r="S7" s="40">
        <f>P7/N7</f>
        <v>2.287190082644628E-2</v>
      </c>
      <c r="T7" s="41">
        <f t="shared" si="1"/>
        <v>3.9318181818181822E-2</v>
      </c>
      <c r="V7" s="41"/>
    </row>
    <row r="8" spans="1:22" x14ac:dyDescent="0.35">
      <c r="A8" s="23">
        <v>4</v>
      </c>
      <c r="B8" s="24">
        <v>46003.572916666664</v>
      </c>
      <c r="C8" s="24">
        <v>46003.588888888888</v>
      </c>
      <c r="D8" s="23" t="s">
        <v>124</v>
      </c>
      <c r="E8" s="61" t="s">
        <v>42</v>
      </c>
      <c r="F8" s="29" t="s">
        <v>27</v>
      </c>
      <c r="G8" s="23">
        <v>361</v>
      </c>
      <c r="H8" s="23">
        <v>86</v>
      </c>
      <c r="I8" s="23">
        <v>1</v>
      </c>
      <c r="J8" s="23">
        <v>2</v>
      </c>
      <c r="K8" s="23">
        <v>33</v>
      </c>
      <c r="L8" s="23">
        <v>122</v>
      </c>
      <c r="M8" s="23">
        <v>23</v>
      </c>
      <c r="N8" s="23">
        <v>56900</v>
      </c>
      <c r="O8" s="23">
        <v>275</v>
      </c>
      <c r="P8" s="23">
        <v>0</v>
      </c>
      <c r="Q8" s="23">
        <v>275</v>
      </c>
      <c r="R8" s="39">
        <f t="shared" si="0"/>
        <v>4.8330404217926184E-3</v>
      </c>
      <c r="S8" s="25">
        <v>0</v>
      </c>
      <c r="T8" s="41">
        <f t="shared" si="1"/>
        <v>4.8330404217926184E-3</v>
      </c>
    </row>
    <row r="9" spans="1:22" x14ac:dyDescent="0.35">
      <c r="A9" s="23">
        <v>4</v>
      </c>
      <c r="B9" s="24">
        <v>46003.572916666664</v>
      </c>
      <c r="C9" s="24">
        <v>46003.588888888888</v>
      </c>
      <c r="D9" s="23" t="s">
        <v>124</v>
      </c>
      <c r="E9" s="61" t="s">
        <v>127</v>
      </c>
      <c r="F9" s="29" t="s">
        <v>27</v>
      </c>
      <c r="G9" s="23">
        <v>730</v>
      </c>
      <c r="H9" s="23">
        <v>178</v>
      </c>
      <c r="I9" s="23">
        <v>3</v>
      </c>
      <c r="J9" s="23">
        <v>1</v>
      </c>
      <c r="K9" s="23">
        <v>40</v>
      </c>
      <c r="L9" s="23">
        <v>222</v>
      </c>
      <c r="M9" s="23">
        <v>23</v>
      </c>
      <c r="N9" s="23">
        <v>56900</v>
      </c>
      <c r="O9" s="23">
        <v>275</v>
      </c>
      <c r="P9" s="23">
        <v>0</v>
      </c>
      <c r="Q9" s="23">
        <v>275</v>
      </c>
      <c r="R9" s="39">
        <f t="shared" si="0"/>
        <v>4.8330404217926184E-3</v>
      </c>
      <c r="S9" s="25">
        <v>0</v>
      </c>
      <c r="T9" s="41">
        <f t="shared" si="1"/>
        <v>4.8330404217926184E-3</v>
      </c>
    </row>
    <row r="10" spans="1:22" x14ac:dyDescent="0.35">
      <c r="A10" s="23">
        <v>5</v>
      </c>
      <c r="B10" s="23" t="s">
        <v>128</v>
      </c>
      <c r="C10" s="23" t="s">
        <v>129</v>
      </c>
      <c r="D10" s="23" t="s">
        <v>124</v>
      </c>
      <c r="E10" s="61" t="s">
        <v>41</v>
      </c>
      <c r="F10" s="30" t="s">
        <v>0</v>
      </c>
      <c r="G10" s="23">
        <v>361</v>
      </c>
      <c r="H10" s="23">
        <v>125</v>
      </c>
      <c r="I10" s="23">
        <v>9</v>
      </c>
      <c r="J10" s="23">
        <v>3</v>
      </c>
      <c r="K10" s="23">
        <v>3</v>
      </c>
      <c r="L10" s="23">
        <v>140</v>
      </c>
      <c r="M10" s="23">
        <v>30</v>
      </c>
      <c r="N10" s="23">
        <v>75200</v>
      </c>
      <c r="O10" s="23">
        <v>191</v>
      </c>
      <c r="P10" s="23">
        <v>0</v>
      </c>
      <c r="Q10" s="23">
        <v>191</v>
      </c>
      <c r="R10" s="39">
        <f t="shared" si="0"/>
        <v>2.5398936170212766E-3</v>
      </c>
      <c r="S10" s="25">
        <v>0</v>
      </c>
      <c r="T10" s="41">
        <f t="shared" si="1"/>
        <v>2.5398936170212766E-3</v>
      </c>
    </row>
    <row r="11" spans="1:22" x14ac:dyDescent="0.35">
      <c r="A11" s="27">
        <v>5</v>
      </c>
      <c r="B11" s="27" t="s">
        <v>128</v>
      </c>
      <c r="C11" s="27" t="s">
        <v>129</v>
      </c>
      <c r="D11" s="27" t="s">
        <v>124</v>
      </c>
      <c r="E11" s="62" t="s">
        <v>56</v>
      </c>
      <c r="F11" s="31" t="s">
        <v>0</v>
      </c>
      <c r="G11" s="27">
        <v>307</v>
      </c>
      <c r="H11" s="27">
        <v>63</v>
      </c>
      <c r="I11" s="27">
        <v>7</v>
      </c>
      <c r="J11" s="27">
        <v>3</v>
      </c>
      <c r="K11" s="27">
        <v>1</v>
      </c>
      <c r="L11" s="27">
        <v>74</v>
      </c>
      <c r="M11" s="27">
        <v>30</v>
      </c>
      <c r="N11" s="27">
        <v>75200</v>
      </c>
      <c r="O11" s="27">
        <v>191</v>
      </c>
      <c r="P11" s="27">
        <v>0</v>
      </c>
      <c r="Q11" s="27">
        <v>191</v>
      </c>
      <c r="R11" s="39">
        <f t="shared" si="0"/>
        <v>2.5398936170212766E-3</v>
      </c>
      <c r="S11" s="28">
        <v>0</v>
      </c>
      <c r="T11" s="41">
        <f t="shared" si="1"/>
        <v>2.5398936170212766E-3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26ba123-f524-4edb-8ec0-4fe5ac767d3b}" enabled="1" method="Privileged" siteId="{8b86a65e-3c3a-4406-8ac3-19a6b5cc52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Formato 2</vt:lpstr>
      <vt:lpstr>Formato</vt:lpstr>
      <vt:lpstr>Lotes</vt:lpstr>
      <vt:lpstr>FRR</vt:lpstr>
      <vt:lpstr>Sheet1</vt:lpstr>
      <vt:lpstr>Formato!Print_Area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Pellegrini, Oscar</dc:creator>
  <cp:keywords/>
  <dc:description/>
  <cp:lastModifiedBy>Tinoco, Jose Francisco (contracted)</cp:lastModifiedBy>
  <cp:revision/>
  <dcterms:created xsi:type="dcterms:W3CDTF">2025-12-10T14:03:21Z</dcterms:created>
  <dcterms:modified xsi:type="dcterms:W3CDTF">2026-01-23T21:10:51Z</dcterms:modified>
  <cp:category/>
  <cp:contentStatus/>
</cp:coreProperties>
</file>