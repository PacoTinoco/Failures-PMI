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inoco2\Downloads\Failures-PMI\Project-FTO\"/>
    </mc:Choice>
  </mc:AlternateContent>
  <xr:revisionPtr revIDLastSave="0" documentId="8_{47BB475E-D4FC-4046-9734-19FBDA1A577B}" xr6:coauthVersionLast="47" xr6:coauthVersionMax="47" xr10:uidLastSave="{00000000-0000-0000-0000-000000000000}"/>
  <bookViews>
    <workbookView xWindow="-110" yWindow="-110" windowWidth="19420" windowHeight="10300" activeTab="1" xr2:uid="{832E2442-F71B-4905-8189-34516615582A}"/>
  </bookViews>
  <sheets>
    <sheet name="IPS Q1" sheetId="2" r:id="rId1"/>
    <sheet name="Contram Q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1" i="1" l="1" a="1"/>
  <c r="A171" i="1" s="1"/>
  <c r="A132" i="2" a="1"/>
  <c r="A132" i="2" s="1"/>
  <c r="A105" i="2" a="1"/>
  <c r="A105" i="2" s="1"/>
  <c r="A72" i="2" a="1"/>
  <c r="A72" i="2" s="1"/>
  <c r="P63" i="2"/>
  <c r="O63" i="2"/>
  <c r="N63" i="2"/>
  <c r="M63" i="2"/>
  <c r="P62" i="2"/>
  <c r="O62" i="2"/>
  <c r="N62" i="2"/>
  <c r="M62" i="2"/>
  <c r="A141" i="2" s="1" a="1"/>
  <c r="A141" i="2" s="1"/>
  <c r="P61" i="2"/>
  <c r="O61" i="2"/>
  <c r="N61" i="2"/>
  <c r="M61" i="2"/>
  <c r="P60" i="2"/>
  <c r="O60" i="2"/>
  <c r="N60" i="2"/>
  <c r="M60" i="2"/>
  <c r="P59" i="2"/>
  <c r="O59" i="2"/>
  <c r="N59" i="2"/>
  <c r="M59" i="2"/>
  <c r="P58" i="2"/>
  <c r="O58" i="2"/>
  <c r="N58" i="2"/>
  <c r="M58" i="2"/>
  <c r="P57" i="2"/>
  <c r="O57" i="2"/>
  <c r="N57" i="2"/>
  <c r="M57" i="2"/>
  <c r="P56" i="2"/>
  <c r="O56" i="2"/>
  <c r="N56" i="2"/>
  <c r="M56" i="2"/>
  <c r="P55" i="2"/>
  <c r="O55" i="2"/>
  <c r="N55" i="2"/>
  <c r="M55" i="2"/>
  <c r="P54" i="2"/>
  <c r="O54" i="2"/>
  <c r="N54" i="2"/>
  <c r="M54" i="2"/>
  <c r="P53" i="2"/>
  <c r="O53" i="2"/>
  <c r="N53" i="2"/>
  <c r="M53" i="2"/>
  <c r="P52" i="2"/>
  <c r="O52" i="2"/>
  <c r="N52" i="2"/>
  <c r="M52" i="2"/>
  <c r="P51" i="2"/>
  <c r="O51" i="2"/>
  <c r="N51" i="2"/>
  <c r="M51" i="2"/>
  <c r="P50" i="2"/>
  <c r="O50" i="2"/>
  <c r="N50" i="2"/>
  <c r="M50" i="2"/>
  <c r="P49" i="2"/>
  <c r="O49" i="2"/>
  <c r="N49" i="2"/>
  <c r="M49" i="2"/>
  <c r="P48" i="2"/>
  <c r="O48" i="2"/>
  <c r="N48" i="2"/>
  <c r="M48" i="2"/>
  <c r="P47" i="2"/>
  <c r="O47" i="2"/>
  <c r="N47" i="2"/>
  <c r="M47" i="2"/>
  <c r="P46" i="2"/>
  <c r="O46" i="2"/>
  <c r="N46" i="2"/>
  <c r="M46" i="2"/>
  <c r="P45" i="2"/>
  <c r="O45" i="2"/>
  <c r="N45" i="2"/>
  <c r="M45" i="2"/>
  <c r="P44" i="2"/>
  <c r="O44" i="2"/>
  <c r="N44" i="2"/>
  <c r="M44" i="2"/>
  <c r="P43" i="2"/>
  <c r="O43" i="2"/>
  <c r="N43" i="2"/>
  <c r="M43" i="2"/>
  <c r="P42" i="2"/>
  <c r="O42" i="2"/>
  <c r="N42" i="2"/>
  <c r="M42" i="2"/>
  <c r="P41" i="2"/>
  <c r="O41" i="2"/>
  <c r="N41" i="2"/>
  <c r="M41" i="2"/>
  <c r="P40" i="2"/>
  <c r="O40" i="2"/>
  <c r="N40" i="2"/>
  <c r="M40" i="2"/>
  <c r="P39" i="2"/>
  <c r="O39" i="2"/>
  <c r="N39" i="2"/>
  <c r="M39" i="2"/>
  <c r="P38" i="2"/>
  <c r="O38" i="2"/>
  <c r="N38" i="2"/>
  <c r="M38" i="2"/>
  <c r="P37" i="2"/>
  <c r="O37" i="2"/>
  <c r="N37" i="2"/>
  <c r="M37" i="2"/>
  <c r="P36" i="2"/>
  <c r="O36" i="2"/>
  <c r="N36" i="2"/>
  <c r="M36" i="2"/>
  <c r="P35" i="2"/>
  <c r="O35" i="2"/>
  <c r="N35" i="2"/>
  <c r="M35" i="2"/>
  <c r="P34" i="2"/>
  <c r="O34" i="2"/>
  <c r="N34" i="2"/>
  <c r="M34" i="2"/>
  <c r="P33" i="2"/>
  <c r="O33" i="2"/>
  <c r="N33" i="2"/>
  <c r="M33" i="2"/>
  <c r="P32" i="2"/>
  <c r="O32" i="2"/>
  <c r="N32" i="2"/>
  <c r="M32" i="2"/>
  <c r="A123" i="2" s="1" a="1"/>
  <c r="A123" i="2" s="1"/>
  <c r="P31" i="2"/>
  <c r="O31" i="2"/>
  <c r="N31" i="2"/>
  <c r="M31" i="2"/>
  <c r="P30" i="2"/>
  <c r="O30" i="2"/>
  <c r="N30" i="2"/>
  <c r="M30" i="2"/>
  <c r="P29" i="2"/>
  <c r="O29" i="2"/>
  <c r="N29" i="2"/>
  <c r="M29" i="2"/>
  <c r="P28" i="2"/>
  <c r="O28" i="2"/>
  <c r="N28" i="2"/>
  <c r="M28" i="2"/>
  <c r="P27" i="2"/>
  <c r="O27" i="2"/>
  <c r="N27" i="2"/>
  <c r="M27" i="2"/>
  <c r="P26" i="2"/>
  <c r="O26" i="2"/>
  <c r="N26" i="2"/>
  <c r="M26" i="2"/>
  <c r="P25" i="2"/>
  <c r="O25" i="2"/>
  <c r="N25" i="2"/>
  <c r="M25" i="2"/>
  <c r="P24" i="2"/>
  <c r="O24" i="2"/>
  <c r="N24" i="2"/>
  <c r="M24" i="2"/>
  <c r="P23" i="2"/>
  <c r="O23" i="2"/>
  <c r="N23" i="2"/>
  <c r="M23" i="2"/>
  <c r="P22" i="2"/>
  <c r="O22" i="2"/>
  <c r="N22" i="2"/>
  <c r="M22" i="2"/>
  <c r="P21" i="2"/>
  <c r="O21" i="2"/>
  <c r="N21" i="2"/>
  <c r="M21" i="2"/>
  <c r="P20" i="2"/>
  <c r="O20" i="2"/>
  <c r="N20" i="2"/>
  <c r="M20" i="2"/>
  <c r="P19" i="2"/>
  <c r="O19" i="2"/>
  <c r="N19" i="2"/>
  <c r="M19" i="2"/>
  <c r="P18" i="2"/>
  <c r="O18" i="2"/>
  <c r="N18" i="2"/>
  <c r="M18" i="2"/>
  <c r="A114" i="2" s="1" a="1"/>
  <c r="A114" i="2" s="1"/>
  <c r="P17" i="2"/>
  <c r="O17" i="2"/>
  <c r="N17" i="2"/>
  <c r="M17" i="2"/>
  <c r="P16" i="2"/>
  <c r="O16" i="2"/>
  <c r="N16" i="2"/>
  <c r="M16" i="2"/>
  <c r="P15" i="2"/>
  <c r="O15" i="2"/>
  <c r="N15" i="2"/>
  <c r="M15" i="2"/>
  <c r="P14" i="2"/>
  <c r="O14" i="2"/>
  <c r="N14" i="2"/>
  <c r="M14" i="2"/>
  <c r="P13" i="2"/>
  <c r="O13" i="2"/>
  <c r="N13" i="2"/>
  <c r="M13" i="2"/>
  <c r="P12" i="2"/>
  <c r="O12" i="2"/>
  <c r="N12" i="2"/>
  <c r="M12" i="2"/>
  <c r="P11" i="2"/>
  <c r="O11" i="2"/>
  <c r="N11" i="2"/>
  <c r="M11" i="2"/>
  <c r="P10" i="2"/>
  <c r="O10" i="2"/>
  <c r="N10" i="2"/>
  <c r="M10" i="2"/>
  <c r="P9" i="2"/>
  <c r="O9" i="2"/>
  <c r="N9" i="2"/>
  <c r="M9" i="2"/>
  <c r="P8" i="2"/>
  <c r="O8" i="2"/>
  <c r="N8" i="2"/>
  <c r="M8" i="2"/>
  <c r="P7" i="2"/>
  <c r="O7" i="2"/>
  <c r="N7" i="2"/>
  <c r="M7" i="2"/>
  <c r="P6" i="2"/>
  <c r="O6" i="2"/>
  <c r="N6" i="2"/>
  <c r="M6" i="2"/>
  <c r="P5" i="2"/>
  <c r="O5" i="2"/>
  <c r="N5" i="2"/>
  <c r="M5" i="2"/>
  <c r="P4" i="2"/>
  <c r="O4" i="2"/>
  <c r="N4" i="2"/>
  <c r="M4" i="2"/>
  <c r="P3" i="2"/>
  <c r="O3" i="2"/>
  <c r="N3" i="2"/>
  <c r="M3" i="2"/>
  <c r="S2" i="2"/>
  <c r="R2" i="2"/>
  <c r="P2" i="2"/>
  <c r="O2" i="2"/>
  <c r="N2" i="2"/>
  <c r="M2" i="2"/>
  <c r="R2" i="1" l="1"/>
  <c r="S2" i="1"/>
  <c r="T2" i="1"/>
  <c r="U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<sst xmlns="http://schemas.openxmlformats.org/spreadsheetml/2006/main" count="1005" uniqueCount="255">
  <si>
    <t>KDF</t>
  </si>
  <si>
    <t>Titulo</t>
  </si>
  <si>
    <t>P1</t>
  </si>
  <si>
    <t>P2</t>
  </si>
  <si>
    <t>P3</t>
  </si>
  <si>
    <t>P4</t>
  </si>
  <si>
    <t>P5</t>
  </si>
  <si>
    <t>P6</t>
  </si>
  <si>
    <t>P7</t>
  </si>
  <si>
    <t>P8</t>
  </si>
  <si>
    <t>Fecha</t>
  </si>
  <si>
    <t>Ubicacion</t>
  </si>
  <si>
    <t>6W2H</t>
  </si>
  <si>
    <t>BBC</t>
  </si>
  <si>
    <t>5W</t>
  </si>
  <si>
    <t>Res</t>
  </si>
  <si>
    <t>O/C</t>
  </si>
  <si>
    <t>Open</t>
  </si>
  <si>
    <t>Closing</t>
  </si>
  <si>
    <t>Aiger no listo</t>
  </si>
  <si>
    <t>HUB</t>
  </si>
  <si>
    <t>Closed</t>
  </si>
  <si>
    <t>Despliegue de filtro/Mal enrollado</t>
  </si>
  <si>
    <t>Silvia F.</t>
  </si>
  <si>
    <t>Gabrielle U.</t>
  </si>
  <si>
    <t>Beatriz G.</t>
  </si>
  <si>
    <t>Fernando R.</t>
  </si>
  <si>
    <t>Pedro A.</t>
  </si>
  <si>
    <t>HCF se alarma</t>
  </si>
  <si>
    <t>PIS</t>
  </si>
  <si>
    <t>Tira filtro por faltante en falo TEWS</t>
  </si>
  <si>
    <t>Leonardo M.</t>
  </si>
  <si>
    <t>Rafael S.</t>
  </si>
  <si>
    <t>Movimiento de papel, abre varill</t>
  </si>
  <si>
    <t>No gira portabobinas al cambio</t>
  </si>
  <si>
    <t>Juan Luis G.</t>
  </si>
  <si>
    <t>Julio F.</t>
  </si>
  <si>
    <t>Omar O.</t>
  </si>
  <si>
    <t>Heriberto M.</t>
  </si>
  <si>
    <t>GCE Convertidor NO listo</t>
  </si>
  <si>
    <t>Edgar S.</t>
  </si>
  <si>
    <t>Luis M.</t>
  </si>
  <si>
    <t>Andres B.</t>
  </si>
  <si>
    <t>Heriberto C.</t>
  </si>
  <si>
    <t>Aldo C.</t>
  </si>
  <si>
    <t>Alex M.</t>
  </si>
  <si>
    <t>Cancelled</t>
  </si>
  <si>
    <t>Atasco en la entrada (Plug atorados en lengueta)</t>
  </si>
  <si>
    <t>Merged</t>
  </si>
  <si>
    <t>Xepics se apaga y se pone en negro</t>
  </si>
  <si>
    <t>Suelta plugs en tambor acelerador</t>
  </si>
  <si>
    <t>Beatriz.</t>
  </si>
  <si>
    <t>Circunferencia Variable</t>
  </si>
  <si>
    <t>Victor.</t>
  </si>
  <si>
    <t>Expulsión de Plug en tambor #14</t>
  </si>
  <si>
    <t>Marco B.</t>
  </si>
  <si>
    <t>Ruptura de luz dinamica</t>
  </si>
  <si>
    <t>Circunferencia Variable 2</t>
  </si>
  <si>
    <t>Alineador deja de responder</t>
  </si>
  <si>
    <t>Edgar. B</t>
  </si>
  <si>
    <t>BCC</t>
  </si>
  <si>
    <t>Se sale varilla por control dinamico de mecha</t>
  </si>
  <si>
    <t>Omar B.</t>
  </si>
  <si>
    <t>VISU participante no alcanzable</t>
  </si>
  <si>
    <t>Alejandro M.</t>
  </si>
  <si>
    <t>Expulsión de todos los filtros (Xepics)</t>
  </si>
  <si>
    <t>Raul R.</t>
  </si>
  <si>
    <t>Se sale bobina</t>
  </si>
  <si>
    <t>Plugs atorados en lengüeta y plugs encimados en varilla</t>
  </si>
  <si>
    <t>Ascended</t>
  </si>
  <si>
    <t>Pierde el corte</t>
  </si>
  <si>
    <t>GC BUS sensor/actuador DP1</t>
  </si>
  <si>
    <t>Atasco en formador en flujo masivo</t>
  </si>
  <si>
    <t>Uriel B.</t>
  </si>
  <si>
    <t>FRR Alto</t>
  </si>
  <si>
    <t>Filtro atorado en tambor introductor</t>
  </si>
  <si>
    <t>Monse D.</t>
  </si>
  <si>
    <t>Edgar B.</t>
  </si>
  <si>
    <t>Nicolas S.</t>
  </si>
  <si>
    <t>Mezcla de goma y glicerina (Bomba PVA)</t>
  </si>
  <si>
    <t>Abraham</t>
  </si>
  <si>
    <t>Peso de filtro alto</t>
  </si>
  <si>
    <t>B27 No traspasa</t>
  </si>
  <si>
    <t>Movimiento de papel</t>
  </si>
  <si>
    <t>Expulsión por falta de vacio</t>
  </si>
  <si>
    <t>Mayra H.</t>
  </si>
  <si>
    <t>FRR Alto Faltante</t>
  </si>
  <si>
    <t>Arranque tardio por reparación de DH</t>
  </si>
  <si>
    <t>Saúl E.</t>
  </si>
  <si>
    <t>Falta de alimentación Rueda Vortex</t>
  </si>
  <si>
    <t>Cesar M.</t>
  </si>
  <si>
    <t>Abraham A.</t>
  </si>
  <si>
    <t>Edgar R.</t>
  </si>
  <si>
    <t>Se alarma fallo rueda de alimentacion HCI</t>
  </si>
  <si>
    <t>Eduardo V.</t>
  </si>
  <si>
    <t>Varilla abierta suciedad PVA anclaje</t>
  </si>
  <si>
    <t>Missing</t>
  </si>
  <si>
    <t>Varilla abierta por suciedad de PVA (KHOL)</t>
  </si>
  <si>
    <t>Oscar P.</t>
  </si>
  <si>
    <t>Intermitencia en linea de refuerzo PVA</t>
  </si>
  <si>
    <t>Juan Garcia</t>
  </si>
  <si>
    <t>Ruptura de mecha filtro atorado en tambor</t>
  </si>
  <si>
    <t>Eyeccion de filtros (2)</t>
  </si>
  <si>
    <t>Desperdicio elevado de cápsula (Megacaps)</t>
  </si>
  <si>
    <t>Herbierto M.</t>
  </si>
  <si>
    <t>HCI no se queda abajo</t>
  </si>
  <si>
    <t>Acumulacion de suciedad en boquilla y lengueta</t>
  </si>
  <si>
    <t>Desperdicio alto por falta de cápsula</t>
  </si>
  <si>
    <t>Marcos R.</t>
  </si>
  <si>
    <t>Boquilla de refuerzo tapada</t>
  </si>
  <si>
    <t>Tira todo por circunferncia Alta</t>
  </si>
  <si>
    <t>Filtro no llega al tambor despues de arranque</t>
  </si>
  <si>
    <t>Paro por eyección de filtros</t>
  </si>
  <si>
    <t>Edith S.</t>
  </si>
  <si>
    <t>Saul E.</t>
  </si>
  <si>
    <t>Desperdicio alto por faltante de cápsul</t>
  </si>
  <si>
    <t>Cuota de produccion se pasa por 40TH</t>
  </si>
  <si>
    <t>Ruptura de papel al hacer el Empalme</t>
  </si>
  <si>
    <t>Milton G.</t>
  </si>
  <si>
    <t>Diego J.</t>
  </si>
  <si>
    <t>Desperdicio alto por posición</t>
  </si>
  <si>
    <t>Filtro con falta de plastificante</t>
  </si>
  <si>
    <t>Luis G.</t>
  </si>
  <si>
    <t>Aplicación intermitente de HM</t>
  </si>
  <si>
    <t>No hace empalme</t>
  </si>
  <si>
    <t>Cápsula faltante</t>
  </si>
  <si>
    <t>No realiza empalme</t>
  </si>
  <si>
    <t>Saul I.</t>
  </si>
  <si>
    <t>Desperdicio elevado por Cápsula faltante</t>
  </si>
  <si>
    <t>Edith</t>
  </si>
  <si>
    <t>IPS Cerrados esta semana</t>
  </si>
  <si>
    <t>IMPRIMIR PISO</t>
  </si>
  <si>
    <t>IPS Abierto KDF 7&amp;9</t>
  </si>
  <si>
    <t>Ubi</t>
  </si>
  <si>
    <t xml:space="preserve"> 6W2H</t>
  </si>
  <si>
    <t>IPS Abierto KDF 10</t>
  </si>
  <si>
    <t>IPS Abierto KDF 17</t>
  </si>
  <si>
    <t>IPS Abierto KDF 8</t>
  </si>
  <si>
    <t>IPS Abierto KDF 11</t>
  </si>
  <si>
    <t>Contramedidas</t>
  </si>
  <si>
    <t>Owner</t>
  </si>
  <si>
    <t>Status</t>
  </si>
  <si>
    <t>Priority</t>
  </si>
  <si>
    <t>Done</t>
  </si>
  <si>
    <t>On going</t>
  </si>
  <si>
    <t>Pending</t>
  </si>
  <si>
    <t>Segmento del Aiger</t>
  </si>
  <si>
    <t>Luis R.</t>
  </si>
  <si>
    <t>Graduar posición de segmento en base</t>
  </si>
  <si>
    <t>Saúl</t>
  </si>
  <si>
    <t>Realizar TI de ajuste de segmento en la base</t>
  </si>
  <si>
    <t>Crear CL de ajuste de detector de fases</t>
  </si>
  <si>
    <t>Rafael</t>
  </si>
  <si>
    <t>Crear OPL de ajuste</t>
  </si>
  <si>
    <t>Colocar tapones al cambio</t>
  </si>
  <si>
    <t>TI limpieza de sensor TEWS</t>
  </si>
  <si>
    <t>Solicitar cepillo nuevo</t>
  </si>
  <si>
    <t>Añadir inspección de portabobinas (tornillos brida) a rutina 1250hrs.</t>
  </si>
  <si>
    <t>Saul</t>
  </si>
  <si>
    <t>Agregar funcionamiento y alineación de micros.</t>
  </si>
  <si>
    <t>Colocación de guía de papel</t>
  </si>
  <si>
    <t>CL posicion de guía de papel</t>
  </si>
  <si>
    <t>Oscar</t>
  </si>
  <si>
    <t>Agregar a CL Tope de lengúeta</t>
  </si>
  <si>
    <t>OPL Limpieza de guía de papel</t>
  </si>
  <si>
    <t>Agregar limpieza de guía a CIL</t>
  </si>
  <si>
    <t>Berni</t>
  </si>
  <si>
    <t>Reaplicar guía de papel pocayoket</t>
  </si>
  <si>
    <t>Revisión de muestras en pantalla y ajusta desviaciones QF</t>
  </si>
  <si>
    <t>Pedro</t>
  </si>
  <si>
    <t>Invertir desde el programa el boton para subir con el de bajar leva.</t>
  </si>
  <si>
    <t>Agrear a rutinas de MP&amp;S marcaje de fecha de cambio de cepillos</t>
  </si>
  <si>
    <t>Agregar a MCL presion de uñas de bobina</t>
  </si>
  <si>
    <t>Cambio de electrovalvula sistema portabobina</t>
  </si>
  <si>
    <t>Papel queda debajo del plegador</t>
  </si>
  <si>
    <t>Victor S.</t>
  </si>
  <si>
    <t>Abraham.</t>
  </si>
  <si>
    <t>Agregar actividades de desplazamiento a rutina de formador</t>
  </si>
  <si>
    <t>Atasco en salida, filtro chueco.</t>
  </si>
  <si>
    <t>Colocar manguera flexible en lanzadores para fácil limpieza</t>
  </si>
  <si>
    <t>Crear boquilla diametro menor en soplador</t>
  </si>
  <si>
    <t>OPL de nueva forma de limpieza</t>
  </si>
  <si>
    <t>Morris</t>
  </si>
  <si>
    <t>Varilla abierta por mezcla KHOL y Goma</t>
  </si>
  <si>
    <t>Marcos</t>
  </si>
  <si>
    <t>Correr ciclo de CL</t>
  </si>
  <si>
    <t>Fijar tobera de KHOL</t>
  </si>
  <si>
    <t>Difundir OPL de ajuste de tobera de mentol</t>
  </si>
  <si>
    <t>CL posición tobera de mentol</t>
  </si>
  <si>
    <t>COCL Agregar limpieza de tobera al termino de KHOL</t>
  </si>
  <si>
    <t>PM reducir tiempo de cambio de boquilla a 1250h</t>
  </si>
  <si>
    <t>Alinear Placa calefactora a 3mm del rodillo excentrico</t>
  </si>
  <si>
    <t>Alinear pernos a la palca calefactora</t>
  </si>
  <si>
    <t>Barrenar para que los pernos queden anclados a la bancada</t>
  </si>
  <si>
    <t>Actualizar CL ataque placa calefactora</t>
  </si>
  <si>
    <t>Actualizar ataques ataques toberas HM, REF, ANC, KHOL</t>
  </si>
  <si>
    <t>Diseñar una base para goniometro que se imante</t>
  </si>
  <si>
    <t>Generar OPL nuevo metodo de medicion de ángulo</t>
  </si>
  <si>
    <t>Modificar PM03 cámara de inspeccion para que lea linea por linea.</t>
  </si>
  <si>
    <t>Reaplicar ajsutes de distancia y ángulo de cámara.</t>
  </si>
  <si>
    <t>Cambiar Luz infraroja por una ultra violeta.</t>
  </si>
  <si>
    <t>Reemplazar cedazo faltante de bomba PVA</t>
  </si>
  <si>
    <t>Modificar método de prueba de cálidad de yodo</t>
  </si>
  <si>
    <t>Cambiar CL llenado de amplificador a 3400 COCL Megacaps</t>
  </si>
  <si>
    <t>CL RPM ventilador 6500</t>
  </si>
  <si>
    <t>Agregar ayudas visuales</t>
  </si>
  <si>
    <t>Crear PM03 electrica inspección, cambio y limpieza de esa zona de conectores electricos (x103)</t>
  </si>
  <si>
    <t>Pedir refacciones para tener stock disponibles de ASBS 8/LED-5/4&gt;11130&lt;12114107</t>
  </si>
  <si>
    <t>Programar cambio de conectores en el proximo mantenimiento electrico del HCI. Recurso: 20094375</t>
  </si>
  <si>
    <t>MCL de distancia deteccion sensores B10 y B11</t>
  </si>
  <si>
    <t>COCL Estandar KHOL</t>
  </si>
  <si>
    <t>Crear TI de rutina de limpieza del ODM</t>
  </si>
  <si>
    <t>Realizar OPL limpieza interna de venturi</t>
  </si>
  <si>
    <t>Programar cambio de manguera DH</t>
  </si>
  <si>
    <t>OPL trigger cierre de cuota y cambio de PO</t>
  </si>
  <si>
    <t>Añadir limpieza de lanzadores a CO KHOL</t>
  </si>
  <si>
    <t>Varilla abierta,mov papel</t>
  </si>
  <si>
    <t>CL portabobinas en Slim y regular</t>
  </si>
  <si>
    <t>Agregar a CL distancia de portabobinas a bancada</t>
  </si>
  <si>
    <t>Realizar SIMPTWW de medicción defreno de bobinas</t>
  </si>
  <si>
    <t>Capsula faltante</t>
  </si>
  <si>
    <t>Agregar rutina inspección laina</t>
  </si>
  <si>
    <t>Agregar rutina en rutina inspección de uña y aro en buen estado</t>
  </si>
  <si>
    <t>Crear OPL de colocación de ruedas</t>
  </si>
  <si>
    <t>Milton</t>
  </si>
  <si>
    <t>levantar QF de producto no conforme</t>
  </si>
  <si>
    <t>Operador</t>
  </si>
  <si>
    <t>Atoramiento de filtro en tambor de salida (Flujo masivo)</t>
  </si>
  <si>
    <t>Agregar a MCL distancia de chapaleta 2.7mm</t>
  </si>
  <si>
    <t>Crear OPL para colocación de mica</t>
  </si>
  <si>
    <t>Nico S</t>
  </si>
  <si>
    <t>Corregir DH en brazo de vacio</t>
  </si>
  <si>
    <t>Punto de acumulación (Suciedad en lengueta)</t>
  </si>
  <si>
    <t>Crear CL de posición de tobera</t>
  </si>
  <si>
    <t>Determinar ajuste de altura de papel solo con la aguía de papel</t>
  </si>
  <si>
    <t>Revisar manual para cambio correcto de boquilla (diametro)</t>
  </si>
  <si>
    <t>Crear rutina para cambio de boquilla cada 1250hrs.</t>
  </si>
  <si>
    <t>Ruedas de traspaso expulsan toda la capsula</t>
  </si>
  <si>
    <t>Agregar rutina de limpieza de vacio</t>
  </si>
  <si>
    <t>Añadir limpieza de inspección 4W horas (Chapaleta)</t>
  </si>
  <si>
    <t>Añadir limpieza e inspección 5K horas (Motor)</t>
  </si>
  <si>
    <t>Añadir limpieza e inspección, 5K horas (Transmisión)</t>
  </si>
  <si>
    <t>Añadir limpieza e inspección 5K horas (Piezas)</t>
  </si>
  <si>
    <t>Realizar TI de calibración plastificante</t>
  </si>
  <si>
    <t>Definir trigger calirbracion Plastificante</t>
  </si>
  <si>
    <t>Calculo de mg y % de plastificante</t>
  </si>
  <si>
    <t>Actualizar CL de porcentaje de plastificante a la relacion de 6.5%</t>
  </si>
  <si>
    <t>Alineación de refeljantes en misma posición en el acrilico</t>
  </si>
  <si>
    <t>Actualizar CL de llenado de amplificador</t>
  </si>
  <si>
    <t>Realizar OPL para arranque al realizar LOTO CIL</t>
  </si>
  <si>
    <t>Nicloas S.</t>
  </si>
  <si>
    <t>IMPRIMIR HUB</t>
  </si>
  <si>
    <t>Contramedidas IPS W45</t>
  </si>
  <si>
    <t>Fecha IPS</t>
  </si>
  <si>
    <t>Dueño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</si>
</sst>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1"/>
        <bgColor theme="1"/>
      </patternFill>
    </fill>
    <fill>
      <patternFill patternType="solid">
        <fgColor theme="2"/>
        <bgColor indexed="64"/>
      </patternFill>
    </fill>
    <fill>
      <patternFill patternType="solid">
        <fgColor rgb="FFAB81FF"/>
        <bgColor indexed="64"/>
      </patternFill>
    </fill>
    <fill>
      <patternFill patternType="solid">
        <fgColor rgb="FF61B0FF"/>
        <bgColor indexed="64"/>
      </patternFill>
    </fill>
    <fill>
      <patternFill patternType="solid">
        <fgColor rgb="FF83E28E"/>
        <bgColor indexed="64"/>
      </patternFill>
    </fill>
    <fill>
      <patternFill patternType="solid">
        <fgColor rgb="FFFFA953"/>
        <bgColor indexed="64"/>
      </patternFill>
    </fill>
    <fill>
      <patternFill patternType="solid">
        <fgColor rgb="FFFFFF6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rgb="FF3F3F3F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rgb="FF3F3F3F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0" borderId="8"/>
  </cellStyleXfs>
  <cellXfs count="36">
    <xf numFmtId="0" fontId="0" fillId="0" borderId="0" xfId="0"/>
    <xf numFmtId="0" fontId="3" fillId="0" borderId="2" xfId="1" applyFont="1" applyFill="1" applyBorder="1"/>
    <xf numFmtId="0" fontId="0" fillId="0" borderId="3" xfId="0" applyBorder="1"/>
    <xf numFmtId="14" fontId="0" fillId="0" borderId="0" xfId="0" applyNumberFormat="1"/>
    <xf numFmtId="0" fontId="0" fillId="0" borderId="0" xfId="0" applyAlignment="1">
      <alignment horizontal="center" vertical="center"/>
    </xf>
    <xf numFmtId="0" fontId="3" fillId="3" borderId="1" xfId="1" applyFont="1" applyFill="1"/>
    <xf numFmtId="0" fontId="4" fillId="4" borderId="0" xfId="0" applyFont="1" applyFill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14" fontId="0" fillId="0" borderId="7" xfId="0" applyNumberFormat="1" applyBorder="1"/>
    <xf numFmtId="0" fontId="0" fillId="0" borderId="7" xfId="0" applyBorder="1" applyAlignment="1">
      <alignment horizontal="center" vertical="center"/>
    </xf>
    <xf numFmtId="0" fontId="1" fillId="0" borderId="8" xfId="2"/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3" fillId="10" borderId="2" xfId="1" applyFont="1" applyFill="1" applyBorder="1"/>
    <xf numFmtId="0" fontId="0" fillId="11" borderId="0" xfId="0" applyFill="1" applyAlignment="1">
      <alignment horizontal="center"/>
    </xf>
    <xf numFmtId="0" fontId="3" fillId="10" borderId="0" xfId="0" applyFont="1" applyFill="1"/>
    <xf numFmtId="0" fontId="0" fillId="12" borderId="0" xfId="0" applyFill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13" borderId="0" xfId="0" applyFill="1"/>
    <xf numFmtId="0" fontId="3" fillId="11" borderId="0" xfId="0" applyFont="1" applyFill="1" applyAlignment="1">
      <alignment horizontal="center"/>
    </xf>
    <xf numFmtId="0" fontId="3" fillId="10" borderId="9" xfId="0" applyFont="1" applyFill="1" applyBorder="1"/>
    <xf numFmtId="14" fontId="0" fillId="0" borderId="7" xfId="0" applyNumberFormat="1" applyBorder="1" applyAlignment="1">
      <alignment horizontal="center"/>
    </xf>
    <xf numFmtId="0" fontId="0" fillId="0" borderId="10" xfId="0" applyBorder="1"/>
    <xf numFmtId="0" fontId="3" fillId="3" borderId="1" xfId="1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</cellXfs>
  <cellStyles count="3">
    <cellStyle name="Normal" xfId="0" builtinId="0"/>
    <cellStyle name="Salida" xfId="1" builtinId="21"/>
    <cellStyle name="Style 1" xfId="2" xr:uid="{51552501-E718-43FF-B54B-42CBCB5EA0C5}"/>
  </cellStyles>
  <dxfs count="323">
    <dxf>
      <fill>
        <patternFill patternType="solid">
          <fgColor indexed="64"/>
          <bgColor rgb="FFFFFF00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m/d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alignment horizontal="center" vertical="bottom" textRotation="0" wrapText="0" indent="0" justifyLastLine="0" shrinkToFit="0" readingOrder="0"/>
    </dxf>
    <dxf>
      <numFmt numFmtId="164" formatCode="m/d/yyyy"/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alignment horizontal="center" vertical="bottom" textRotation="0" wrapText="0" indent="0" justifyLastLine="0" shrinkToFit="0" readingOrder="0"/>
    </dxf>
    <dxf>
      <numFmt numFmtId="164" formatCode="m/d/yyyy"/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ill>
        <patternFill>
          <fgColor indexed="64"/>
          <bgColor theme="1"/>
        </patternFill>
      </fill>
    </dxf>
    <dxf>
      <fill>
        <patternFill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bgColor rgb="FFFF6D6D"/>
        </patternFill>
      </fill>
    </dxf>
    <dxf>
      <fill>
        <patternFill>
          <bgColor rgb="FF93FF93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rgb="FFFF8B8B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93FF93"/>
        </patternFill>
      </fill>
    </dxf>
    <dxf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rgb="FFFF6D6D"/>
        </patternFill>
      </fill>
    </dxf>
    <dxf>
      <fill>
        <patternFill>
          <bgColor theme="0" tint="-0.14996795556505021"/>
        </patternFill>
      </fill>
    </dxf>
    <dxf>
      <fill>
        <patternFill>
          <bgColor rgb="FFFFFF99"/>
        </patternFill>
      </fill>
    </dxf>
    <dxf>
      <fill>
        <patternFill>
          <bgColor rgb="FF93FF93"/>
        </patternFill>
      </fill>
    </dxf>
    <dxf>
      <fill>
        <patternFill>
          <bgColor rgb="FFFF6D6D"/>
        </patternFill>
      </fill>
    </dxf>
    <dxf>
      <fill>
        <patternFill patternType="none">
          <bgColor auto="1"/>
        </patternFill>
      </fill>
    </dxf>
    <dxf>
      <fill>
        <patternFill>
          <bgColor rgb="FFFF6D6D"/>
        </patternFill>
      </fill>
    </dxf>
    <dxf>
      <fill>
        <patternFill>
          <bgColor rgb="FF93FF93"/>
        </patternFill>
      </fill>
    </dxf>
    <dxf>
      <fill>
        <patternFill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FF8B8B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4.9989318521683403E-2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FF8B8B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FF8B8B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4" tint="0.59996337778862885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FFC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6D6D"/>
        </patternFill>
      </fill>
    </dxf>
    <dxf>
      <fill>
        <patternFill>
          <bgColor rgb="FFFFFF81"/>
        </patternFill>
      </fill>
    </dxf>
    <dxf>
      <fill>
        <patternFill>
          <bgColor rgb="FF93FF93"/>
        </patternFill>
      </fill>
    </dxf>
    <dxf>
      <fill>
        <patternFill>
          <bgColor rgb="FFAAFCFA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3FF93"/>
        </patternFill>
      </fill>
    </dxf>
    <dxf>
      <fill>
        <patternFill>
          <bgColor rgb="FFFF6D6D"/>
        </patternFill>
      </fill>
    </dxf>
    <dxf>
      <fill>
        <patternFill>
          <bgColor rgb="FFFFFF81"/>
        </patternFill>
      </fill>
    </dxf>
    <dxf>
      <fill>
        <patternFill>
          <bgColor rgb="FFAAFCFA"/>
        </patternFill>
      </fill>
    </dxf>
    <dxf>
      <fill>
        <patternFill patternType="none">
          <bgColor auto="1"/>
        </patternFill>
      </fill>
    </dxf>
    <dxf>
      <fill>
        <patternFill>
          <bgColor rgb="FFAAFCFA"/>
        </patternFill>
      </fill>
    </dxf>
    <dxf>
      <fill>
        <patternFill>
          <bgColor rgb="FF93FF93"/>
        </patternFill>
      </fill>
    </dxf>
    <dxf>
      <fill>
        <patternFill>
          <bgColor rgb="FFFFFF81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FF81"/>
        </patternFill>
      </fill>
    </dxf>
    <dxf>
      <fill>
        <patternFill>
          <bgColor rgb="FFAAFCFA"/>
        </patternFill>
      </fill>
    </dxf>
    <dxf>
      <fill>
        <patternFill patternType="none">
          <bgColor auto="1"/>
        </patternFill>
      </fill>
    </dxf>
    <dxf>
      <fill>
        <patternFill>
          <bgColor rgb="FF93FF93"/>
        </patternFill>
      </fill>
    </dxf>
    <dxf>
      <fill>
        <patternFill patternType="none">
          <bgColor auto="1"/>
        </patternFill>
      </fill>
    </dxf>
    <dxf>
      <fill>
        <patternFill>
          <bgColor rgb="FFAAFCFA"/>
        </patternFill>
      </fill>
    </dxf>
    <dxf>
      <fill>
        <patternFill>
          <bgColor rgb="FFAAFCFA"/>
        </patternFill>
      </fill>
    </dxf>
    <dxf>
      <fill>
        <patternFill>
          <bgColor rgb="FFFF6D6D"/>
        </patternFill>
      </fill>
    </dxf>
    <dxf>
      <fill>
        <patternFill>
          <bgColor rgb="FFFFFF81"/>
        </patternFill>
      </fill>
    </dxf>
    <dxf>
      <fill>
        <patternFill>
          <bgColor rgb="FF93FF93"/>
        </patternFill>
      </fill>
    </dxf>
    <dxf>
      <fill>
        <patternFill patternType="none">
          <bgColor auto="1"/>
        </patternFill>
      </fill>
    </dxf>
    <dxf>
      <fill>
        <patternFill>
          <bgColor rgb="FFAAFCFA"/>
        </patternFill>
      </fill>
    </dxf>
    <dxf>
      <fill>
        <patternFill>
          <bgColor rgb="FF93FF93"/>
        </patternFill>
      </fill>
    </dxf>
    <dxf>
      <fill>
        <patternFill>
          <bgColor rgb="FFFFFF81"/>
        </patternFill>
      </fill>
    </dxf>
    <dxf>
      <fill>
        <patternFill>
          <bgColor rgb="FFFF6D6D"/>
        </patternFill>
      </fill>
    </dxf>
    <dxf>
      <fill>
        <patternFill>
          <bgColor rgb="FFAAFCFA"/>
        </patternFill>
      </fill>
    </dxf>
    <dxf>
      <fill>
        <patternFill patternType="none">
          <bgColor auto="1"/>
        </patternFill>
      </fill>
    </dxf>
    <dxf>
      <fill>
        <patternFill>
          <bgColor rgb="FF93FF93"/>
        </patternFill>
      </fill>
    </dxf>
    <dxf>
      <fill>
        <patternFill>
          <bgColor rgb="FFFF6D6D"/>
        </patternFill>
      </fill>
    </dxf>
    <dxf>
      <fill>
        <patternFill>
          <bgColor rgb="FFFFFF81"/>
        </patternFill>
      </fill>
    </dxf>
    <dxf>
      <fill>
        <patternFill>
          <bgColor rgb="FFFFFF81"/>
        </patternFill>
      </fill>
    </dxf>
    <dxf>
      <fill>
        <patternFill>
          <bgColor rgb="FF93FF93"/>
        </patternFill>
      </fill>
    </dxf>
    <dxf>
      <fill>
        <patternFill>
          <bgColor rgb="FFFF6D6D"/>
        </patternFill>
      </fill>
    </dxf>
    <dxf>
      <fill>
        <patternFill>
          <bgColor rgb="FFAAFCFA"/>
        </patternFill>
      </fill>
    </dxf>
    <dxf>
      <fill>
        <patternFill>
          <bgColor rgb="FFAAFCFA"/>
        </patternFill>
      </fill>
    </dxf>
    <dxf>
      <fill>
        <patternFill>
          <bgColor rgb="FF93FF93"/>
        </patternFill>
      </fill>
    </dxf>
    <dxf>
      <fill>
        <patternFill>
          <bgColor rgb="FFFFFF81"/>
        </patternFill>
      </fill>
    </dxf>
    <dxf>
      <fill>
        <patternFill patternType="none">
          <bgColor auto="1"/>
        </patternFill>
      </fill>
    </dxf>
    <dxf>
      <fill>
        <patternFill>
          <bgColor rgb="FFFF6D6D"/>
        </patternFill>
      </fill>
    </dxf>
    <dxf>
      <fill>
        <patternFill>
          <bgColor rgb="FFAAFCFA"/>
        </patternFill>
      </fill>
    </dxf>
    <dxf>
      <fill>
        <patternFill>
          <bgColor rgb="FF93FF93"/>
        </patternFill>
      </fill>
    </dxf>
    <dxf>
      <fill>
        <patternFill>
          <bgColor rgb="FFFFFF81"/>
        </patternFill>
      </fill>
    </dxf>
    <dxf>
      <fill>
        <patternFill>
          <bgColor rgb="FFFF6D6D"/>
        </patternFill>
      </fill>
    </dxf>
    <dxf>
      <fill>
        <patternFill>
          <bgColor rgb="FFFFFF81"/>
        </patternFill>
      </fill>
    </dxf>
    <dxf>
      <fill>
        <patternFill>
          <bgColor rgb="FFFF6D6D"/>
        </patternFill>
      </fill>
    </dxf>
    <dxf>
      <fill>
        <patternFill>
          <bgColor rgb="FFAAFCFA"/>
        </patternFill>
      </fill>
    </dxf>
    <dxf>
      <fill>
        <patternFill>
          <bgColor rgb="FF93FF93"/>
        </patternFill>
      </fill>
    </dxf>
    <dxf>
      <fill>
        <patternFill patternType="none">
          <bgColor auto="1"/>
        </patternFill>
      </fill>
    </dxf>
    <dxf>
      <fill>
        <patternFill>
          <bgColor rgb="FFAAFCFA"/>
        </patternFill>
      </fill>
    </dxf>
    <dxf>
      <fill>
        <patternFill>
          <bgColor rgb="FFFF6D6D"/>
        </patternFill>
      </fill>
    </dxf>
    <dxf>
      <fill>
        <patternFill>
          <bgColor rgb="FFFFFF81"/>
        </patternFill>
      </fill>
    </dxf>
    <dxf>
      <fill>
        <patternFill>
          <bgColor rgb="FF93FF93"/>
        </patternFill>
      </fill>
    </dxf>
    <dxf>
      <fill>
        <patternFill>
          <bgColor rgb="FFFF6D6D"/>
        </patternFill>
      </fill>
    </dxf>
    <dxf>
      <fill>
        <patternFill patternType="none">
          <bgColor auto="1"/>
        </patternFill>
      </fill>
    </dxf>
    <dxf>
      <fill>
        <patternFill>
          <bgColor rgb="FFAAFCFA"/>
        </patternFill>
      </fill>
    </dxf>
    <dxf>
      <fill>
        <patternFill>
          <bgColor rgb="FF93FF93"/>
        </patternFill>
      </fill>
    </dxf>
    <dxf>
      <fill>
        <patternFill>
          <bgColor rgb="FFFFFF81"/>
        </patternFill>
      </fill>
    </dxf>
    <dxf>
      <fill>
        <patternFill>
          <bgColor rgb="FFFF6D6D"/>
        </patternFill>
      </fill>
    </dxf>
    <dxf>
      <fill>
        <patternFill>
          <bgColor rgb="FFFFFF81"/>
        </patternFill>
      </fill>
    </dxf>
    <dxf>
      <fill>
        <patternFill>
          <bgColor rgb="FFAAFCFA"/>
        </patternFill>
      </fill>
    </dxf>
    <dxf>
      <fill>
        <patternFill>
          <bgColor rgb="FF93FF93"/>
        </patternFill>
      </fill>
    </dxf>
    <dxf>
      <fill>
        <patternFill patternType="none">
          <bgColor auto="1"/>
        </patternFill>
      </fill>
    </dxf>
    <dxf>
      <fill>
        <patternFill>
          <bgColor rgb="FF93FF93"/>
        </patternFill>
      </fill>
    </dxf>
    <dxf>
      <fill>
        <patternFill>
          <bgColor rgb="FFFFFF81"/>
        </patternFill>
      </fill>
    </dxf>
    <dxf>
      <fill>
        <patternFill>
          <bgColor rgb="FFFF6D6D"/>
        </patternFill>
      </fill>
    </dxf>
    <dxf>
      <fill>
        <patternFill>
          <bgColor rgb="FFFFA953"/>
        </patternFill>
      </fill>
    </dxf>
    <dxf>
      <fill>
        <patternFill>
          <bgColor rgb="FFFFFF6D"/>
        </patternFill>
      </fill>
    </dxf>
    <dxf>
      <fill>
        <patternFill>
          <bgColor theme="6" tint="0.59996337778862885"/>
        </patternFill>
      </fill>
    </dxf>
    <dxf>
      <fill>
        <patternFill>
          <bgColor rgb="FF61B0FF"/>
        </patternFill>
      </fill>
    </dxf>
    <dxf>
      <fill>
        <patternFill>
          <bgColor rgb="FFAB81FF"/>
        </patternFill>
      </fill>
    </dxf>
    <dxf>
      <fill>
        <patternFill>
          <bgColor rgb="FFAB81FF"/>
        </patternFill>
      </fill>
    </dxf>
    <dxf>
      <fill>
        <patternFill>
          <bgColor rgb="FFAB81FF"/>
        </patternFill>
      </fill>
    </dxf>
    <dxf>
      <fill>
        <patternFill patternType="none">
          <bgColor auto="1"/>
        </patternFill>
      </fill>
    </dxf>
    <dxf>
      <fill>
        <patternFill>
          <bgColor rgb="FFFFA953"/>
        </patternFill>
      </fill>
    </dxf>
    <dxf>
      <fill>
        <patternFill>
          <bgColor rgb="FFFFFF6D"/>
        </patternFill>
      </fill>
    </dxf>
    <dxf>
      <fill>
        <patternFill>
          <bgColor theme="6" tint="0.59996337778862885"/>
        </patternFill>
      </fill>
    </dxf>
    <dxf>
      <fill>
        <patternFill>
          <bgColor rgb="FF61B0FF"/>
        </patternFill>
      </fill>
    </dxf>
    <dxf>
      <fill>
        <patternFill>
          <bgColor rgb="FFAB81FF"/>
        </patternFill>
      </fill>
    </dxf>
    <dxf>
      <fill>
        <patternFill patternType="none">
          <bgColor auto="1"/>
        </patternFill>
      </fill>
    </dxf>
    <dxf>
      <fill>
        <patternFill>
          <bgColor rgb="FFAB81FF"/>
        </patternFill>
      </fill>
    </dxf>
    <dxf>
      <fill>
        <patternFill>
          <bgColor rgb="FFAB81FF"/>
        </patternFill>
      </fill>
    </dxf>
    <dxf>
      <fill>
        <patternFill>
          <bgColor rgb="FF61B0FF"/>
        </patternFill>
      </fill>
    </dxf>
    <dxf>
      <fill>
        <patternFill>
          <bgColor theme="6" tint="0.59996337778862885"/>
        </patternFill>
      </fill>
    </dxf>
    <dxf>
      <fill>
        <patternFill>
          <bgColor rgb="FFFFFF6D"/>
        </patternFill>
      </fill>
    </dxf>
    <dxf>
      <fill>
        <patternFill>
          <bgColor rgb="FFFFA953"/>
        </patternFill>
      </fill>
    </dxf>
    <dxf>
      <fill>
        <patternFill>
          <bgColor rgb="FFFFA953"/>
        </patternFill>
      </fill>
    </dxf>
    <dxf>
      <fill>
        <patternFill patternType="none">
          <bgColor auto="1"/>
        </patternFill>
      </fill>
    </dxf>
    <dxf>
      <fill>
        <patternFill>
          <bgColor rgb="FFAB81FF"/>
        </patternFill>
      </fill>
    </dxf>
    <dxf>
      <fill>
        <patternFill>
          <bgColor rgb="FFAB81FF"/>
        </patternFill>
      </fill>
    </dxf>
    <dxf>
      <fill>
        <patternFill>
          <bgColor rgb="FF61B0FF"/>
        </patternFill>
      </fill>
    </dxf>
    <dxf>
      <fill>
        <patternFill>
          <bgColor theme="6" tint="0.59996337778862885"/>
        </patternFill>
      </fill>
    </dxf>
    <dxf>
      <fill>
        <patternFill>
          <bgColor rgb="FFFFFF6D"/>
        </patternFill>
      </fill>
    </dxf>
    <dxf>
      <fill>
        <patternFill>
          <bgColor rgb="FFFFA953"/>
        </patternFill>
      </fill>
    </dxf>
    <dxf>
      <fill>
        <patternFill>
          <bgColor rgb="FFFFFF6D"/>
        </patternFill>
      </fill>
    </dxf>
    <dxf>
      <fill>
        <patternFill>
          <bgColor theme="6" tint="0.59996337778862885"/>
        </patternFill>
      </fill>
    </dxf>
    <dxf>
      <fill>
        <patternFill>
          <bgColor rgb="FF61B0FF"/>
        </patternFill>
      </fill>
    </dxf>
    <dxf>
      <fill>
        <patternFill>
          <bgColor rgb="FFAB81FF"/>
        </patternFill>
      </fill>
    </dxf>
    <dxf>
      <fill>
        <patternFill>
          <bgColor rgb="FFAB81FF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AB81FF"/>
        </patternFill>
      </fill>
    </dxf>
    <dxf>
      <fill>
        <patternFill>
          <bgColor rgb="FFAB81FF"/>
        </patternFill>
      </fill>
    </dxf>
    <dxf>
      <fill>
        <patternFill>
          <bgColor rgb="FF61B0FF"/>
        </patternFill>
      </fill>
    </dxf>
    <dxf>
      <fill>
        <patternFill>
          <bgColor theme="6" tint="0.59996337778862885"/>
        </patternFill>
      </fill>
    </dxf>
    <dxf>
      <fill>
        <patternFill>
          <bgColor rgb="FFFFFF6D"/>
        </patternFill>
      </fill>
    </dxf>
    <dxf>
      <fill>
        <patternFill>
          <bgColor rgb="FFFFA953"/>
        </patternFill>
      </fill>
    </dxf>
    <dxf>
      <fill>
        <patternFill patternType="none">
          <bgColor auto="1"/>
        </patternFill>
      </fill>
    </dxf>
    <dxf>
      <fill>
        <patternFill>
          <bgColor rgb="FFFFFF6D"/>
        </patternFill>
      </fill>
    </dxf>
    <dxf>
      <fill>
        <patternFill>
          <bgColor theme="6" tint="0.59996337778862885"/>
        </patternFill>
      </fill>
    </dxf>
    <dxf>
      <fill>
        <patternFill>
          <bgColor rgb="FFFFA953"/>
        </patternFill>
      </fill>
    </dxf>
    <dxf>
      <fill>
        <patternFill>
          <bgColor rgb="FFAB81FF"/>
        </patternFill>
      </fill>
    </dxf>
    <dxf>
      <fill>
        <patternFill>
          <bgColor rgb="FFAB81FF"/>
        </patternFill>
      </fill>
    </dxf>
    <dxf>
      <fill>
        <patternFill>
          <bgColor rgb="FF61B0FF"/>
        </patternFill>
      </fill>
    </dxf>
    <dxf>
      <fill>
        <patternFill>
          <bgColor rgb="FFFFA953"/>
        </patternFill>
      </fill>
    </dxf>
    <dxf>
      <fill>
        <patternFill>
          <bgColor theme="6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AB81FF"/>
        </patternFill>
      </fill>
    </dxf>
    <dxf>
      <fill>
        <patternFill>
          <bgColor rgb="FFAB81FF"/>
        </patternFill>
      </fill>
    </dxf>
    <dxf>
      <fill>
        <patternFill>
          <bgColor rgb="FF61B0FF"/>
        </patternFill>
      </fill>
    </dxf>
    <dxf>
      <fill>
        <patternFill>
          <bgColor rgb="FFFFFF6D"/>
        </patternFill>
      </fill>
    </dxf>
    <dxf>
      <fill>
        <patternFill>
          <bgColor rgb="FFFFA953"/>
        </patternFill>
      </fill>
    </dxf>
    <dxf>
      <fill>
        <patternFill>
          <bgColor theme="6" tint="0.59996337778862885"/>
        </patternFill>
      </fill>
    </dxf>
    <dxf>
      <fill>
        <patternFill>
          <bgColor rgb="FF61B0FF"/>
        </patternFill>
      </fill>
    </dxf>
    <dxf>
      <fill>
        <patternFill>
          <bgColor rgb="FFFFFF6D"/>
        </patternFill>
      </fill>
    </dxf>
    <dxf>
      <fill>
        <patternFill>
          <bgColor rgb="FFAB81FF"/>
        </patternFill>
      </fill>
    </dxf>
    <dxf>
      <fill>
        <patternFill>
          <bgColor rgb="FFAB81FF"/>
        </patternFill>
      </fill>
    </dxf>
    <dxf>
      <fill>
        <patternFill patternType="none">
          <bgColor auto="1"/>
        </patternFill>
      </fill>
    </dxf>
    <dxf>
      <fill>
        <patternFill>
          <bgColor rgb="FFAB81FF"/>
        </patternFill>
      </fill>
    </dxf>
    <dxf>
      <fill>
        <patternFill>
          <bgColor rgb="FFAB81FF"/>
        </patternFill>
      </fill>
    </dxf>
    <dxf>
      <fill>
        <patternFill>
          <bgColor rgb="FF61B0FF"/>
        </patternFill>
      </fill>
    </dxf>
    <dxf>
      <fill>
        <patternFill>
          <bgColor theme="6" tint="0.59996337778862885"/>
        </patternFill>
      </fill>
    </dxf>
    <dxf>
      <fill>
        <patternFill>
          <bgColor rgb="FFFFA953"/>
        </patternFill>
      </fill>
    </dxf>
    <dxf>
      <fill>
        <patternFill>
          <bgColor rgb="FFFFFF6D"/>
        </patternFill>
      </fill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border>
        <top style="thin">
          <color theme="1"/>
        </top>
      </border>
    </dxf>
    <dxf>
      <border>
        <top style="thin">
          <color theme="1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border outline="0">
        <bottom style="thin">
          <color rgb="FF3F3F3F"/>
        </bottom>
      </border>
    </dxf>
    <dxf>
      <border outline="0">
        <top style="thin">
          <color rgb="FF3F3F3F"/>
        </top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rgb="FF3F3F3F"/>
        </left>
        <right style="thin">
          <color rgb="FF3F3F3F"/>
        </right>
        <top/>
        <bottom/>
      </border>
    </dxf>
    <dxf>
      <fill>
        <patternFill>
          <bgColor rgb="FFB2ECBA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8" tint="0.79998168889431442"/>
        </patternFill>
      </fill>
    </dxf>
    <dxf>
      <fill>
        <patternFill>
          <bgColor rgb="FFB2ECBA"/>
        </patternFill>
      </fill>
    </dxf>
    <dxf>
      <fill>
        <patternFill>
          <bgColor rgb="FFD1F7D6"/>
        </patternFill>
      </fill>
    </dxf>
    <dxf>
      <fill>
        <patternFill>
          <bgColor rgb="FFB2ECBA"/>
        </patternFill>
      </fill>
    </dxf>
    <dxf>
      <fill>
        <patternFill>
          <bgColor rgb="FFB2ECBA"/>
        </patternFill>
      </fill>
    </dxf>
    <dxf>
      <fill>
        <patternFill>
          <bgColor rgb="FFB2ECBA"/>
        </patternFill>
      </fill>
    </dxf>
    <dxf>
      <fill>
        <patternFill>
          <bgColor theme="4" tint="0.79998168889431442"/>
        </patternFill>
      </fill>
    </dxf>
    <dxf>
      <fill>
        <patternFill>
          <bgColor rgb="FFB2ECBA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99"/>
        </patternFill>
      </fill>
    </dxf>
    <dxf>
      <fill>
        <patternFill>
          <bgColor rgb="FFD1F7D6"/>
        </patternFill>
      </fill>
    </dxf>
    <dxf>
      <fill>
        <patternFill>
          <bgColor rgb="FFB2ECBA"/>
        </patternFill>
      </fill>
    </dxf>
    <dxf>
      <fill>
        <patternFill>
          <bgColor rgb="FFB2ECBA"/>
        </patternFill>
      </fill>
    </dxf>
    <dxf>
      <fill>
        <patternFill>
          <bgColor rgb="FFB2ECBA"/>
        </patternFill>
      </fill>
    </dxf>
    <dxf>
      <fill>
        <patternFill>
          <bgColor rgb="FFB2ECBA"/>
        </patternFill>
      </fill>
    </dxf>
    <dxf>
      <fill>
        <patternFill>
          <bgColor theme="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B2ECBA"/>
        </patternFill>
      </fill>
    </dxf>
    <dxf>
      <fill>
        <patternFill>
          <bgColor rgb="FFB2ECBA"/>
        </patternFill>
      </fill>
    </dxf>
    <dxf>
      <fill>
        <patternFill>
          <bgColor rgb="FFB2ECBA"/>
        </patternFill>
      </fill>
    </dxf>
    <dxf>
      <fill>
        <patternFill>
          <bgColor rgb="FFB2ECBA"/>
        </patternFill>
      </fill>
    </dxf>
    <dxf>
      <fill>
        <patternFill>
          <bgColor rgb="FFD1F7D6"/>
        </patternFill>
      </fill>
    </dxf>
    <dxf>
      <fill>
        <patternFill>
          <bgColor theme="8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 patternType="none">
          <bgColor auto="1"/>
        </patternFill>
      </fill>
    </dxf>
    <dxf>
      <fill>
        <patternFill>
          <bgColor rgb="FFAAFCFA"/>
        </patternFill>
      </fill>
    </dxf>
    <dxf>
      <fill>
        <patternFill>
          <bgColor rgb="FF93FF93"/>
        </patternFill>
      </fill>
    </dxf>
    <dxf>
      <fill>
        <patternFill>
          <bgColor rgb="FFFF6D6D"/>
        </patternFill>
      </fill>
    </dxf>
    <dxf>
      <fill>
        <patternFill>
          <bgColor rgb="FFFFFF81"/>
        </patternFill>
      </fill>
    </dxf>
    <dxf>
      <fill>
        <patternFill patternType="none">
          <bgColor auto="1"/>
        </patternFill>
      </fill>
    </dxf>
    <dxf>
      <fill>
        <patternFill>
          <bgColor rgb="FFAAFCFA"/>
        </patternFill>
      </fill>
    </dxf>
    <dxf>
      <fill>
        <patternFill>
          <bgColor rgb="FF93FF93"/>
        </patternFill>
      </fill>
    </dxf>
    <dxf>
      <fill>
        <patternFill>
          <bgColor rgb="FFFFFF81"/>
        </patternFill>
      </fill>
    </dxf>
    <dxf>
      <fill>
        <patternFill patternType="none">
          <bgColor auto="1"/>
        </patternFill>
      </fill>
    </dxf>
    <dxf>
      <fill>
        <patternFill>
          <bgColor rgb="FFFF6D6D"/>
        </patternFill>
      </fill>
    </dxf>
    <dxf>
      <fill>
        <patternFill patternType="none">
          <bgColor auto="1"/>
        </patternFill>
      </fill>
    </dxf>
    <dxf>
      <fill>
        <patternFill>
          <bgColor rgb="FFAAFCFA"/>
        </patternFill>
      </fill>
    </dxf>
    <dxf>
      <fill>
        <patternFill>
          <bgColor rgb="FF93FF93"/>
        </patternFill>
      </fill>
    </dxf>
    <dxf>
      <fill>
        <patternFill>
          <bgColor rgb="FFFFFF81"/>
        </patternFill>
      </fill>
    </dxf>
    <dxf>
      <fill>
        <patternFill>
          <bgColor rgb="FFFFA953"/>
        </patternFill>
      </fill>
    </dxf>
    <dxf>
      <fill>
        <patternFill>
          <bgColor rgb="FFAB81FF"/>
        </patternFill>
      </fill>
    </dxf>
    <dxf>
      <fill>
        <patternFill>
          <bgColor rgb="FF61B0FF"/>
        </patternFill>
      </fill>
    </dxf>
    <dxf>
      <fill>
        <patternFill>
          <bgColor theme="6" tint="0.59996337778862885"/>
        </patternFill>
      </fill>
    </dxf>
    <dxf>
      <fill>
        <patternFill>
          <bgColor rgb="FFFFFF6D"/>
        </patternFill>
      </fill>
    </dxf>
    <dxf>
      <fill>
        <patternFill>
          <bgColor rgb="FFAB81FF"/>
        </patternFill>
      </fill>
    </dxf>
    <dxf>
      <fill>
        <patternFill>
          <bgColor rgb="FFFFFF6D"/>
        </patternFill>
      </fill>
    </dxf>
    <dxf>
      <fill>
        <patternFill>
          <bgColor rgb="FFAB81FF"/>
        </patternFill>
      </fill>
    </dxf>
    <dxf>
      <fill>
        <patternFill>
          <bgColor rgb="FFAB81FF"/>
        </patternFill>
      </fill>
    </dxf>
    <dxf>
      <fill>
        <patternFill>
          <bgColor rgb="FF61B0FF"/>
        </patternFill>
      </fill>
    </dxf>
    <dxf>
      <fill>
        <patternFill>
          <bgColor theme="6" tint="0.59996337778862885"/>
        </patternFill>
      </fill>
    </dxf>
    <dxf>
      <fill>
        <patternFill>
          <bgColor rgb="FFFFA953"/>
        </patternFill>
      </fill>
    </dxf>
    <dxf>
      <fill>
        <patternFill>
          <bgColor rgb="FFFFFF6D"/>
        </patternFill>
      </fill>
    </dxf>
    <dxf>
      <fill>
        <patternFill>
          <bgColor rgb="FFFFA953"/>
        </patternFill>
      </fill>
    </dxf>
    <dxf>
      <fill>
        <patternFill>
          <bgColor rgb="FFAB81FF"/>
        </patternFill>
      </fill>
    </dxf>
    <dxf>
      <fill>
        <patternFill>
          <bgColor rgb="FFAB81FF"/>
        </patternFill>
      </fill>
    </dxf>
    <dxf>
      <fill>
        <patternFill>
          <bgColor rgb="FF61B0FF"/>
        </patternFill>
      </fill>
    </dxf>
    <dxf>
      <fill>
        <patternFill>
          <bgColor theme="6" tint="0.59996337778862885"/>
        </patternFill>
      </fill>
    </dxf>
    <dxf>
      <fill>
        <patternFill>
          <bgColor rgb="FFAB81FF"/>
        </patternFill>
      </fill>
    </dxf>
    <dxf>
      <fill>
        <patternFill>
          <bgColor rgb="FFAB81FF"/>
        </patternFill>
      </fill>
    </dxf>
    <dxf>
      <fill>
        <patternFill>
          <bgColor rgb="FF61B0FF"/>
        </patternFill>
      </fill>
    </dxf>
    <dxf>
      <fill>
        <patternFill>
          <bgColor theme="6" tint="0.59996337778862885"/>
        </patternFill>
      </fill>
    </dxf>
    <dxf>
      <fill>
        <patternFill>
          <bgColor rgb="FFFFFF6D"/>
        </patternFill>
      </fill>
    </dxf>
    <dxf>
      <fill>
        <patternFill>
          <bgColor rgb="FFFFA953"/>
        </patternFill>
      </fill>
    </dxf>
    <dxf>
      <fill>
        <patternFill>
          <bgColor rgb="FFFFA953"/>
        </patternFill>
      </fill>
    </dxf>
    <dxf>
      <fill>
        <patternFill>
          <bgColor rgb="FFAB81FF"/>
        </patternFill>
      </fill>
    </dxf>
    <dxf>
      <fill>
        <patternFill>
          <bgColor rgb="FFAB81FF"/>
        </patternFill>
      </fill>
    </dxf>
    <dxf>
      <fill>
        <patternFill>
          <bgColor rgb="FF61B0FF"/>
        </patternFill>
      </fill>
    </dxf>
    <dxf>
      <fill>
        <patternFill>
          <bgColor theme="6" tint="0.59996337778862885"/>
        </patternFill>
      </fill>
    </dxf>
    <dxf>
      <fill>
        <patternFill>
          <bgColor rgb="FFFFFF6D"/>
        </patternFill>
      </fill>
    </dxf>
    <dxf>
      <fill>
        <patternFill>
          <bgColor rgb="FFFFA953"/>
        </patternFill>
      </fill>
    </dxf>
    <dxf>
      <fill>
        <patternFill>
          <bgColor rgb="FFAB81FF"/>
        </patternFill>
      </fill>
    </dxf>
    <dxf>
      <fill>
        <patternFill>
          <bgColor rgb="FFAB81FF"/>
        </patternFill>
      </fill>
    </dxf>
    <dxf>
      <fill>
        <patternFill>
          <bgColor rgb="FF61B0FF"/>
        </patternFill>
      </fill>
    </dxf>
    <dxf>
      <fill>
        <patternFill>
          <bgColor theme="6" tint="0.59996337778862885"/>
        </patternFill>
      </fill>
    </dxf>
    <dxf>
      <fill>
        <patternFill>
          <bgColor rgb="FFFFFF6D"/>
        </patternFill>
      </fill>
    </dxf>
    <dxf>
      <fill>
        <patternFill>
          <bgColor rgb="FFFFA953"/>
        </patternFill>
      </fill>
    </dxf>
    <dxf>
      <fill>
        <patternFill>
          <bgColor rgb="FFFFFF6D"/>
        </patternFill>
      </fill>
    </dxf>
    <dxf>
      <fill>
        <patternFill>
          <bgColor theme="6" tint="0.59996337778862885"/>
        </patternFill>
      </fill>
    </dxf>
    <dxf>
      <fill>
        <patternFill>
          <bgColor rgb="FF61B0FF"/>
        </patternFill>
      </fill>
    </dxf>
    <dxf>
      <fill>
        <patternFill>
          <bgColor rgb="FFAB81FF"/>
        </patternFill>
      </fill>
    </dxf>
    <dxf>
      <fill>
        <patternFill>
          <bgColor rgb="FFAB81FF"/>
        </patternFill>
      </fill>
    </dxf>
    <dxf>
      <fill>
        <patternFill patternType="none">
          <bgColor auto="1"/>
        </patternFill>
      </fill>
    </dxf>
  </dxfs>
  <tableStyles count="1" defaultTableStyle="TableStyleMedium2" defaultPivotStyle="PivotStyleLight16">
    <tableStyle name="Table 1" pivot="0" count="9" xr9:uid="{3CCB4A79-07D7-45D8-86E1-8C49B2C210E5}">
      <tableStyleElement type="wholeTable" dxfId="223"/>
      <tableStyleElement type="headerRow" dxfId="222"/>
      <tableStyleElement type="totalRow" dxfId="221"/>
      <tableStyleElement type="firstColumn" dxfId="220"/>
      <tableStyleElement type="lastColumn" dxfId="219"/>
      <tableStyleElement type="firstRowStripe" dxfId="218"/>
      <tableStyleElement type="secondRowStripe" dxfId="217"/>
      <tableStyleElement type="firstColumnStripe" dxfId="216"/>
      <tableStyleElement type="secondColumnStripe" dxfId="2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B280AE-4491-4217-9F3B-AD26DA7E4667}" name="Table32357911141618202224" displayName="Table32357911141618202224" ref="A1:Q63" totalsRowShown="0" headerRowDxfId="231" headerRowBorderDxfId="229" tableBorderDxfId="230">
  <autoFilter ref="A1:Q63" xr:uid="{FFB280AE-4491-4217-9F3B-AD26DA7E4667}"/>
  <tableColumns count="17">
    <tableColumn id="1" xr3:uid="{35D26298-2A29-4F9C-8097-4267231AF4E3}" name="KDF"/>
    <tableColumn id="2" xr3:uid="{F814594B-BA8C-45E9-AF24-5652F8BBEAE9}" name="Titulo"/>
    <tableColumn id="3" xr3:uid="{7B45286F-2CF1-44CC-ABA2-58CE4858FACE}" name="P1"/>
    <tableColumn id="4" xr3:uid="{70BA2D6F-AE5F-49AE-97FF-56C9B1205CC0}" name="P2"/>
    <tableColumn id="5" xr3:uid="{24BF163F-0F5B-4042-AC9E-81B39F7E1EEF}" name="P3"/>
    <tableColumn id="6" xr3:uid="{0767A0DE-CF95-4934-AE0A-A7385466941F}" name="P4"/>
    <tableColumn id="7" xr3:uid="{F07D3B15-F46C-48F8-8212-2CE76ACAE340}" name="P5"/>
    <tableColumn id="14" xr3:uid="{7669F4FB-F351-4468-A7C6-DC2C602FAD40}" name="P6"/>
    <tableColumn id="13" xr3:uid="{61DB172A-186D-4C57-96DB-6F83D14BF7F9}" name="P7"/>
    <tableColumn id="8" xr3:uid="{A3EC7FAC-2A10-4354-8257-E2F6D42E066A}" name="P8"/>
    <tableColumn id="9" xr3:uid="{EFA0B5D2-930A-4A6F-BBDC-C30FB475B67F}" name="Fecha" dataDxfId="228"/>
    <tableColumn id="10" xr3:uid="{EC538D50-AD01-4221-AD9F-53E5CA6BF750}" name="Ubicacion"/>
    <tableColumn id="18" xr3:uid="{6ECD75D4-B854-4BE2-8EF2-390356D1B578}" name="6W2H" dataDxfId="227">
      <calculatedColumnFormula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calculatedColumnFormula>
    </tableColumn>
    <tableColumn id="19" xr3:uid="{9996264B-89F6-43A7-935F-E4DF6CE68664}" name="BBC" dataDxfId="226">
      <calculatedColumnFormula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calculatedColumnFormula>
    </tableColumn>
    <tableColumn id="17" xr3:uid="{65D5EDE5-405C-4BB8-9A5B-AF1156E3D348}" name="5W" dataDxfId="225">
      <calculatedColumnFormula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calculatedColumnFormula>
    </tableColumn>
    <tableColumn id="16" xr3:uid="{A79094E7-71DB-4517-A96D-72DE047338BB}" name="Res" dataDxfId="224">
      <calculatedColumnFormula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calculatedColumnFormula>
    </tableColumn>
    <tableColumn id="15" xr3:uid="{89243AA7-EC72-4155-A256-CD608FE2D7A4}" name="O/C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CC6418-F5CF-4736-9DA0-501D0A5387D8}" name="Table11681013151719212325" displayName="Table11681013151719212325" ref="A1:P22" totalsRowShown="0" headerRowDxfId="32">
  <autoFilter ref="A1:P22" xr:uid="{2CCC6418-F5CF-4736-9DA0-501D0A5387D8}"/>
  <tableColumns count="16">
    <tableColumn id="1" xr3:uid="{183F9D7E-CBFB-4948-83CF-DED9CE0896A5}" name="KDF" dataDxfId="31"/>
    <tableColumn id="2" xr3:uid="{5C62896E-4658-4188-851F-7AEBD4E36A8E}" name="Titulo"/>
    <tableColumn id="3" xr3:uid="{6970F434-5F7D-4AC3-9BB0-5C0F15FAEF78}" name="P1"/>
    <tableColumn id="4" xr3:uid="{45D48E5B-8D55-425C-8F5B-38D32A94FF33}" name="P2"/>
    <tableColumn id="5" xr3:uid="{42478084-BE1B-493B-8CF6-A4D295A0FBC9}" name="P3"/>
    <tableColumn id="6" xr3:uid="{321C18E1-9827-4847-8BB4-4E9862C60015}" name="P4"/>
    <tableColumn id="7" xr3:uid="{415CBF84-AA33-469D-BA7C-FB7CE9845682}" name="P5"/>
    <tableColumn id="8" xr3:uid="{5019ACFE-9E9A-4CAE-A8A5-BC83CB3D9BFF}" name="P6"/>
    <tableColumn id="9" xr3:uid="{9B1EBD2D-746E-4EAC-914D-A7A6335DA1C6}" name="P7"/>
    <tableColumn id="10" xr3:uid="{CAA41A9F-38CA-4074-9853-6D4C31124E37}" name="P8"/>
    <tableColumn id="11" xr3:uid="{377B1B76-59A3-46BE-AAFD-4355557B601A}" name="Fecha" dataDxfId="30"/>
    <tableColumn id="12" xr3:uid="{2DCBFB59-18BB-4214-B70B-1C595523E273}" name="Ubicacion" dataDxfId="29"/>
    <tableColumn id="13" xr3:uid="{358C9FE1-DADB-404E-8220-9E8D4A72A59C}" name="Contramedidas"/>
    <tableColumn id="19" xr3:uid="{54FE2545-6BB4-4909-B1AE-5ABC2312E5AF}" name="Owner"/>
    <tableColumn id="20" xr3:uid="{4E01044B-6614-4946-B756-D0A952311201}" name="Status"/>
    <tableColumn id="14" xr3:uid="{3FDB78C2-F9FC-4649-94C2-61AEFFD21FBE}" name="Priority"/>
  </tableColumns>
  <tableStyleInfo name="Tab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5D6271-BDC4-439A-9C82-A770691E0DD2}" name="Table29" displayName="Table29" ref="A24:P34" totalsRowShown="0" headerRowDxfId="28" tableBorderDxfId="27">
  <autoFilter ref="A24:P34" xr:uid="{5E5D6271-BDC4-439A-9C82-A770691E0DD2}"/>
  <tableColumns count="16">
    <tableColumn id="1" xr3:uid="{CEEBD5B3-E17A-49BE-B94E-23065C6FC420}" name="KDF"/>
    <tableColumn id="2" xr3:uid="{7E6667C2-AEF8-4F64-A255-1019A3EA5CCA}" name="Titulo"/>
    <tableColumn id="3" xr3:uid="{BFB4B1A0-4960-4733-9AD9-99AC1C5A6670}" name="P1"/>
    <tableColumn id="4" xr3:uid="{BC92615A-62F3-4934-A744-B2401FA6253E}" name="P2"/>
    <tableColumn id="5" xr3:uid="{EBA3C673-2E77-4316-9368-CB8BB05B08BD}" name="P3"/>
    <tableColumn id="6" xr3:uid="{CD8FC628-919A-4E67-9DC6-B57E488068DF}" name="P4"/>
    <tableColumn id="7" xr3:uid="{286FF9FD-CDED-4196-8C49-F0E9A43AB05D}" name="P5"/>
    <tableColumn id="8" xr3:uid="{2E304DC5-DF92-46B9-BBBE-09352221E1FB}" name="P6"/>
    <tableColumn id="9" xr3:uid="{C5F6A75B-363D-48CC-BE81-70DC6E131595}" name="P7"/>
    <tableColumn id="10" xr3:uid="{B4105766-B6DD-462D-8C92-63EE35076382}" name="P8"/>
    <tableColumn id="11" xr3:uid="{9BD9AEF3-87E3-4D8F-8155-944A70CB19EB}" name="Fecha" dataDxfId="26"/>
    <tableColumn id="12" xr3:uid="{6914F513-DD4D-4A83-84D8-34CE2FDA05C8}" name="Ubicacion" dataDxfId="25"/>
    <tableColumn id="13" xr3:uid="{677F7E41-9731-451E-AF6F-A8470AE248FF}" name="Contramedidas"/>
    <tableColumn id="14" xr3:uid="{579CFC4E-0E33-4DAF-BBA2-DAE90D3D2FD8}" name="Owner"/>
    <tableColumn id="15" xr3:uid="{B2735590-A773-4FD0-92D8-06CEDBA2EA2B}" name="Status"/>
    <tableColumn id="16" xr3:uid="{013D4699-0944-4FF2-A95C-826649634B44}" name="Priority"/>
  </tableColumns>
  <tableStyleInfo name="Tab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D8F758-0B39-4371-8BE5-4D4A4E2CAC5F}" name="Table30" displayName="Table30" ref="A36:P79" totalsRowShown="0" headerRowDxfId="24" tableBorderDxfId="23">
  <autoFilter ref="A36:P79" xr:uid="{50D8F758-0B39-4371-8BE5-4D4A4E2CAC5F}"/>
  <tableColumns count="16">
    <tableColumn id="1" xr3:uid="{D4481AB3-23DE-46E9-919A-CE06218E9A42}" name="KDF"/>
    <tableColumn id="2" xr3:uid="{D2198EC9-12FC-4D23-8C31-E7E513F6A44D}" name="Titulo"/>
    <tableColumn id="3" xr3:uid="{EE53F1A6-1A4C-469C-814B-6ECA9E04752B}" name="P1"/>
    <tableColumn id="4" xr3:uid="{62D50456-9F7C-4768-9A85-50CD0D9AB44E}" name="P2"/>
    <tableColumn id="5" xr3:uid="{BC5727F4-3FFA-4F5D-A43A-EE986B9C18EA}" name="P3"/>
    <tableColumn id="6" xr3:uid="{85A00965-E084-43DF-8F7B-A650CF1F450C}" name="P4"/>
    <tableColumn id="7" xr3:uid="{9AFA8233-00E5-40B2-B052-58D954C61756}" name="P5"/>
    <tableColumn id="8" xr3:uid="{1EBC0648-71CD-4EA7-9A89-51399247AF8E}" name="P6"/>
    <tableColumn id="9" xr3:uid="{F50CB0EA-78EE-47EC-B2E9-1316C227BE83}" name="P7"/>
    <tableColumn id="10" xr3:uid="{12DBDC1B-EE8F-4C0E-A44F-8AE756C3CCA2}" name="P8"/>
    <tableColumn id="11" xr3:uid="{4E88C0FC-FBC8-4F86-B928-F912FC245109}" name="Fecha" dataDxfId="22"/>
    <tableColumn id="12" xr3:uid="{039A46EA-3E6A-4732-B7D6-9C5D66341B8B}" name="Ubicacion" dataDxfId="21"/>
    <tableColumn id="13" xr3:uid="{42578494-0838-4158-A5F1-87A803D5409A}" name="Contramedidas"/>
    <tableColumn id="14" xr3:uid="{7EA4ED17-130D-445C-B7D8-E0B2CBA249B5}" name="Owner"/>
    <tableColumn id="15" xr3:uid="{8590D3A7-6FB0-4793-9DFD-5B219956CB3D}" name="Status"/>
    <tableColumn id="16" xr3:uid="{8E577F3C-4BB5-4805-81CA-4F0F81B70F05}" name="Priority"/>
  </tableColumns>
  <tableStyleInfo name="Tab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D4973A-11CC-477B-88EB-177CCF2776B7}" name="Table31" displayName="Table31" ref="A81:P89" totalsRowShown="0" headerRowDxfId="20" tableBorderDxfId="19">
  <autoFilter ref="A81:P89" xr:uid="{7FD4973A-11CC-477B-88EB-177CCF2776B7}"/>
  <tableColumns count="16">
    <tableColumn id="1" xr3:uid="{76E32251-6025-4D55-ABD8-75C2AE321F38}" name="KDF" dataDxfId="18"/>
    <tableColumn id="2" xr3:uid="{51359F74-7A91-4CF3-A1D8-A32BAEBA1386}" name="Titulo" dataDxfId="17"/>
    <tableColumn id="3" xr3:uid="{88051E1A-44FE-491F-B71E-06154BB88B18}" name="P1"/>
    <tableColumn id="4" xr3:uid="{03555AB9-1F0A-4240-9220-A0B140C7B9CA}" name="P2"/>
    <tableColumn id="5" xr3:uid="{3E74E748-4444-4F34-B355-39C7E8A94E12}" name="P3"/>
    <tableColumn id="6" xr3:uid="{51F7EFB8-394D-486B-88AF-022A9F3A1D4A}" name="P4"/>
    <tableColumn id="7" xr3:uid="{1A67542C-3E12-42DB-A4E0-96AE993227DE}" name="P5"/>
    <tableColumn id="8" xr3:uid="{90705EE3-FD74-4C6F-98E8-03A307C61A6A}" name="P6"/>
    <tableColumn id="9" xr3:uid="{960EA6E1-F368-4E56-A97D-872DFCB9496A}" name="P7"/>
    <tableColumn id="10" xr3:uid="{406407BA-2DDF-497D-85A2-1C048CD323BE}" name="P8"/>
    <tableColumn id="11" xr3:uid="{C45140F4-EC1F-4DAF-912F-BAFF542281F4}" name="Fecha" dataDxfId="16"/>
    <tableColumn id="12" xr3:uid="{3606C039-FE38-4070-86B0-F0073DEB2CD7}" name="Ubicacion" dataDxfId="15"/>
    <tableColumn id="13" xr3:uid="{4618C9E2-C2AF-4420-8DD0-91660E88851E}" name="Contramedidas"/>
    <tableColumn id="14" xr3:uid="{AD76F3F1-B338-4235-BDF3-47222C36E441}" name="Owner"/>
    <tableColumn id="15" xr3:uid="{71E58651-D7EC-4CA4-856E-F793FB55FA15}" name="Status"/>
    <tableColumn id="16" xr3:uid="{1E29EF0C-52C8-4B40-8DE1-A3F952CD32E8}" name="Priority"/>
  </tableColumns>
  <tableStyleInfo name="Tab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514B98-A40C-4340-AD27-0FD31BC6BA4D}" name="Table33" displayName="Table33" ref="A91:P116" totalsRowShown="0" headerRowDxfId="14" tableBorderDxfId="13">
  <autoFilter ref="A91:P116" xr:uid="{FE514B98-A40C-4340-AD27-0FD31BC6BA4D}"/>
  <tableColumns count="16">
    <tableColumn id="1" xr3:uid="{6A7875D7-3E9E-4713-97F4-4E333DE57270}" name="KDF" dataDxfId="12"/>
    <tableColumn id="2" xr3:uid="{0AFBCD22-2952-4EBC-AC5F-ADC245602682}" name="Titulo" dataDxfId="11"/>
    <tableColumn id="3" xr3:uid="{2FDA272F-62EC-46B9-ABFB-FE21E6F5DF39}" name="P1" dataDxfId="10"/>
    <tableColumn id="4" xr3:uid="{C8B3397F-C1CC-470A-89E1-68A9008C0230}" name="P2" dataDxfId="9"/>
    <tableColumn id="5" xr3:uid="{BB7B551C-AB06-48DF-943D-225A55DC9E92}" name="P3" dataDxfId="8"/>
    <tableColumn id="6" xr3:uid="{17EEB552-E147-4902-8065-3703C31D9770}" name="P4" dataDxfId="7"/>
    <tableColumn id="7" xr3:uid="{0376E0DF-0AED-402C-B423-8516669A5E9B}" name="P5" dataDxfId="6"/>
    <tableColumn id="8" xr3:uid="{F334455F-EB85-4B45-9145-7470481B8851}" name="P6" dataDxfId="5"/>
    <tableColumn id="9" xr3:uid="{2983031A-CD71-4D5E-A910-02C377454597}" name="P7" dataDxfId="4"/>
    <tableColumn id="10" xr3:uid="{CC003AEE-3BF1-4A82-A53F-007A5B26E8C5}" name="P8" dataDxfId="3"/>
    <tableColumn id="11" xr3:uid="{2FDEA658-3C63-4B1D-9F0F-7DF76A7AB585}" name="Fecha" dataDxfId="2"/>
    <tableColumn id="12" xr3:uid="{014F0C10-CDCB-4FEA-9DC0-B54152334800}" name="Ubicacion" dataDxfId="1"/>
    <tableColumn id="13" xr3:uid="{CABE1498-E351-4CF4-855A-92F704967BC8}" name="Contramedidas"/>
    <tableColumn id="14" xr3:uid="{1B0FE9C0-230F-4E34-ABCA-1FCC13F29DC2}" name="Owner"/>
    <tableColumn id="15" xr3:uid="{7796EEB0-98C8-49B0-990F-9F78590448DA}" name="Status"/>
    <tableColumn id="16" xr3:uid="{CBF8B76E-69B7-4DEC-B8FE-22141181AAE8}" name="Priority" dataDxfId="0"/>
  </tableColumns>
  <tableStyleInfo name="Table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AB1C-6BFD-425D-8BB1-AF19D74CE8A9}">
  <dimension ref="A1:S323"/>
  <sheetViews>
    <sheetView workbookViewId="0">
      <selection activeCell="B4" sqref="B4"/>
    </sheetView>
  </sheetViews>
  <sheetFormatPr baseColWidth="10" defaultRowHeight="14.5" x14ac:dyDescent="0.35"/>
  <cols>
    <col min="1" max="1" width="3.54296875" customWidth="1"/>
    <col min="2" max="2" width="35.54296875" customWidth="1"/>
    <col min="3" max="10" width="8.54296875" customWidth="1"/>
    <col min="11" max="11" width="10.54296875" customWidth="1"/>
    <col min="12" max="12" width="5.54296875" customWidth="1"/>
    <col min="13" max="16" width="6.54296875" customWidth="1"/>
    <col min="17" max="19" width="8.5429687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</row>
    <row r="2" spans="1:19" x14ac:dyDescent="0.35">
      <c r="K2" s="3"/>
      <c r="M2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N2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O2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P2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R2" s="4">
        <f>COUNTIF(Table32357911141618202224[O/C],"Open") + COUNTIF(Table32357911141618202224[O/C],"6W2H") + COUNTIF(Table32357911141618202224[O/C],"BCC") + COUNTIF(Table32357911141618202224[O/C],"5W") + COUNTIF(Table32357911141618202224[O/C],)</f>
        <v>6</v>
      </c>
      <c r="S2" s="4">
        <f>COUNTIF(Table32357911141618202224[O/C],"Closing")</f>
        <v>0</v>
      </c>
    </row>
    <row r="3" spans="1:19" x14ac:dyDescent="0.35">
      <c r="A3">
        <v>7</v>
      </c>
      <c r="B3" t="s">
        <v>19</v>
      </c>
      <c r="K3" s="3">
        <v>46083</v>
      </c>
      <c r="L3" t="s">
        <v>20</v>
      </c>
      <c r="M3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3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3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3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3" t="s">
        <v>21</v>
      </c>
    </row>
    <row r="4" spans="1:19" x14ac:dyDescent="0.35">
      <c r="A4">
        <v>7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K4" s="3">
        <v>46084</v>
      </c>
      <c r="L4" t="s">
        <v>20</v>
      </c>
      <c r="M4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4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4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4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4" t="s">
        <v>21</v>
      </c>
    </row>
    <row r="5" spans="1:19" x14ac:dyDescent="0.35">
      <c r="A5">
        <v>9</v>
      </c>
      <c r="B5" t="s">
        <v>28</v>
      </c>
      <c r="C5" t="s">
        <v>23</v>
      </c>
      <c r="D5" t="s">
        <v>26</v>
      </c>
      <c r="K5" s="3">
        <v>46085</v>
      </c>
      <c r="L5" t="s">
        <v>29</v>
      </c>
      <c r="M5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5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5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5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5" t="s">
        <v>21</v>
      </c>
    </row>
    <row r="6" spans="1:19" x14ac:dyDescent="0.35">
      <c r="A6">
        <v>7</v>
      </c>
      <c r="B6" t="s">
        <v>30</v>
      </c>
      <c r="C6" t="s">
        <v>31</v>
      </c>
      <c r="D6" t="s">
        <v>27</v>
      </c>
      <c r="E6" t="s">
        <v>32</v>
      </c>
      <c r="K6" s="3">
        <v>46104</v>
      </c>
      <c r="L6" t="s">
        <v>29</v>
      </c>
      <c r="M6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6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6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6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6" t="s">
        <v>21</v>
      </c>
    </row>
    <row r="7" spans="1:19" x14ac:dyDescent="0.35">
      <c r="A7">
        <v>7</v>
      </c>
      <c r="B7" t="s">
        <v>33</v>
      </c>
      <c r="C7" t="s">
        <v>26</v>
      </c>
      <c r="K7" s="3"/>
      <c r="L7" t="s">
        <v>29</v>
      </c>
      <c r="M7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7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7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7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7" t="s">
        <v>21</v>
      </c>
    </row>
    <row r="8" spans="1:19" x14ac:dyDescent="0.35">
      <c r="A8">
        <v>9</v>
      </c>
      <c r="B8" t="s">
        <v>34</v>
      </c>
      <c r="C8" t="s">
        <v>26</v>
      </c>
      <c r="D8" t="s">
        <v>35</v>
      </c>
      <c r="E8" t="s">
        <v>36</v>
      </c>
      <c r="F8" t="s">
        <v>37</v>
      </c>
      <c r="G8" t="s">
        <v>38</v>
      </c>
      <c r="K8" s="3">
        <v>46106</v>
      </c>
      <c r="L8" t="s">
        <v>29</v>
      </c>
      <c r="M8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8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8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8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8" t="s">
        <v>21</v>
      </c>
    </row>
    <row r="9" spans="1:19" x14ac:dyDescent="0.35">
      <c r="K9" s="3"/>
      <c r="M9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N9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O9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P9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</row>
    <row r="10" spans="1:19" x14ac:dyDescent="0.35">
      <c r="A10">
        <v>10</v>
      </c>
      <c r="B10" t="s">
        <v>39</v>
      </c>
      <c r="C10" t="s">
        <v>40</v>
      </c>
      <c r="D10" t="s">
        <v>41</v>
      </c>
      <c r="E10" t="s">
        <v>25</v>
      </c>
      <c r="F10" t="s">
        <v>42</v>
      </c>
      <c r="G10" t="s">
        <v>43</v>
      </c>
      <c r="H10" t="s">
        <v>44</v>
      </c>
      <c r="I10" t="s">
        <v>32</v>
      </c>
      <c r="J10" t="s">
        <v>45</v>
      </c>
      <c r="K10" s="3">
        <v>45939</v>
      </c>
      <c r="L10" t="s">
        <v>20</v>
      </c>
      <c r="M10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N10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O10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P10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Q10" t="s">
        <v>46</v>
      </c>
    </row>
    <row r="11" spans="1:19" x14ac:dyDescent="0.35">
      <c r="A11">
        <v>10</v>
      </c>
      <c r="B11" t="s">
        <v>47</v>
      </c>
      <c r="C11" t="s">
        <v>25</v>
      </c>
      <c r="K11" s="3">
        <v>45950</v>
      </c>
      <c r="L11" t="s">
        <v>20</v>
      </c>
      <c r="M11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N11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O11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P11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Q11" t="s">
        <v>48</v>
      </c>
    </row>
    <row r="12" spans="1:19" x14ac:dyDescent="0.35">
      <c r="A12">
        <v>10</v>
      </c>
      <c r="B12" t="s">
        <v>49</v>
      </c>
      <c r="C12" t="s">
        <v>25</v>
      </c>
      <c r="D12" t="s">
        <v>40</v>
      </c>
      <c r="E12" t="s">
        <v>41</v>
      </c>
      <c r="K12" s="3">
        <v>45952</v>
      </c>
      <c r="L12" t="s">
        <v>20</v>
      </c>
      <c r="M12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N12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O12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P12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Q12" t="s">
        <v>46</v>
      </c>
    </row>
    <row r="13" spans="1:19" x14ac:dyDescent="0.35">
      <c r="A13">
        <v>10</v>
      </c>
      <c r="B13" t="s">
        <v>50</v>
      </c>
      <c r="C13" t="s">
        <v>37</v>
      </c>
      <c r="D13" t="s">
        <v>51</v>
      </c>
      <c r="K13" s="3">
        <v>45960</v>
      </c>
      <c r="L13" t="s">
        <v>20</v>
      </c>
      <c r="M13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N13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O13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P13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Q13" t="s">
        <v>48</v>
      </c>
    </row>
    <row r="14" spans="1:19" x14ac:dyDescent="0.35">
      <c r="A14">
        <v>10</v>
      </c>
      <c r="B14" t="s">
        <v>52</v>
      </c>
      <c r="C14" t="s">
        <v>53</v>
      </c>
      <c r="K14" s="3">
        <v>45963</v>
      </c>
      <c r="L14" t="s">
        <v>20</v>
      </c>
      <c r="M14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N14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O14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P14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Q14" t="s">
        <v>46</v>
      </c>
    </row>
    <row r="15" spans="1:19" x14ac:dyDescent="0.35">
      <c r="A15">
        <v>10</v>
      </c>
      <c r="B15" t="s">
        <v>54</v>
      </c>
      <c r="C15" t="s">
        <v>55</v>
      </c>
      <c r="D15" t="s">
        <v>42</v>
      </c>
      <c r="E15" t="s">
        <v>37</v>
      </c>
      <c r="K15" s="3">
        <v>46062</v>
      </c>
      <c r="L15" t="s">
        <v>20</v>
      </c>
      <c r="M15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N15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O15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P15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Q15" t="s">
        <v>48</v>
      </c>
    </row>
    <row r="16" spans="1:19" x14ac:dyDescent="0.35">
      <c r="A16">
        <v>10</v>
      </c>
      <c r="B16" t="s">
        <v>56</v>
      </c>
      <c r="C16" t="s">
        <v>55</v>
      </c>
      <c r="D16" t="s">
        <v>38</v>
      </c>
      <c r="E16" t="s">
        <v>37</v>
      </c>
      <c r="K16" s="3">
        <v>46072</v>
      </c>
      <c r="L16" t="s">
        <v>20</v>
      </c>
      <c r="M16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16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16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16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16" t="s">
        <v>21</v>
      </c>
    </row>
    <row r="17" spans="1:17" x14ac:dyDescent="0.35">
      <c r="A17">
        <v>10</v>
      </c>
      <c r="B17" t="s">
        <v>57</v>
      </c>
      <c r="C17" t="s">
        <v>27</v>
      </c>
      <c r="K17" s="3">
        <v>46084</v>
      </c>
      <c r="L17" t="s">
        <v>20</v>
      </c>
      <c r="M17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17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17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17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17" t="s">
        <v>21</v>
      </c>
    </row>
    <row r="18" spans="1:17" x14ac:dyDescent="0.35">
      <c r="A18">
        <v>10</v>
      </c>
      <c r="B18" t="s">
        <v>58</v>
      </c>
      <c r="C18" t="s">
        <v>53</v>
      </c>
      <c r="D18" t="s">
        <v>59</v>
      </c>
      <c r="K18" s="3">
        <v>46085</v>
      </c>
      <c r="L18" t="s">
        <v>20</v>
      </c>
      <c r="M18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18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18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P18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Q18" t="s">
        <v>60</v>
      </c>
    </row>
    <row r="19" spans="1:17" x14ac:dyDescent="0.35">
      <c r="A19">
        <v>10</v>
      </c>
      <c r="B19" t="s">
        <v>61</v>
      </c>
      <c r="C19" t="s">
        <v>53</v>
      </c>
      <c r="D19" t="s">
        <v>62</v>
      </c>
      <c r="K19" s="3">
        <v>46087</v>
      </c>
      <c r="L19" t="s">
        <v>20</v>
      </c>
      <c r="M19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19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19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19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19" t="s">
        <v>21</v>
      </c>
    </row>
    <row r="20" spans="1:17" x14ac:dyDescent="0.35">
      <c r="A20">
        <v>10</v>
      </c>
      <c r="B20" t="s">
        <v>63</v>
      </c>
      <c r="C20" t="s">
        <v>43</v>
      </c>
      <c r="D20" t="s">
        <v>64</v>
      </c>
      <c r="K20" s="3">
        <v>46087</v>
      </c>
      <c r="L20" t="s">
        <v>20</v>
      </c>
      <c r="M20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20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20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P20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Q20" t="s">
        <v>60</v>
      </c>
    </row>
    <row r="21" spans="1:17" x14ac:dyDescent="0.35">
      <c r="A21">
        <v>10</v>
      </c>
      <c r="B21" t="s">
        <v>65</v>
      </c>
      <c r="C21" t="s">
        <v>43</v>
      </c>
      <c r="D21" t="s">
        <v>64</v>
      </c>
      <c r="E21" t="s">
        <v>66</v>
      </c>
      <c r="K21" s="3">
        <v>46090</v>
      </c>
      <c r="L21" t="s">
        <v>20</v>
      </c>
      <c r="M21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N21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O21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P21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Q21" t="s">
        <v>48</v>
      </c>
    </row>
    <row r="22" spans="1:17" x14ac:dyDescent="0.35">
      <c r="A22">
        <v>10</v>
      </c>
      <c r="B22" t="s">
        <v>67</v>
      </c>
      <c r="C22" t="s">
        <v>53</v>
      </c>
      <c r="D22" t="s">
        <v>66</v>
      </c>
      <c r="E22" t="s">
        <v>36</v>
      </c>
      <c r="K22" s="3">
        <v>46098</v>
      </c>
      <c r="L22" t="s">
        <v>20</v>
      </c>
      <c r="M22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22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22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22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22" t="s">
        <v>21</v>
      </c>
    </row>
    <row r="23" spans="1:17" x14ac:dyDescent="0.35">
      <c r="A23">
        <v>10</v>
      </c>
      <c r="B23" t="s">
        <v>68</v>
      </c>
      <c r="C23" t="s">
        <v>66</v>
      </c>
      <c r="K23" s="3">
        <v>46100</v>
      </c>
      <c r="M23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N23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O23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P23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Q23" t="s">
        <v>69</v>
      </c>
    </row>
    <row r="24" spans="1:17" x14ac:dyDescent="0.35">
      <c r="A24">
        <v>10</v>
      </c>
      <c r="B24" t="s">
        <v>70</v>
      </c>
      <c r="C24" t="s">
        <v>64</v>
      </c>
      <c r="D24" t="s">
        <v>43</v>
      </c>
      <c r="E24" t="s">
        <v>66</v>
      </c>
      <c r="K24" s="3">
        <v>46100</v>
      </c>
      <c r="M24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N24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O24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P24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Q24" t="s">
        <v>69</v>
      </c>
    </row>
    <row r="25" spans="1:17" x14ac:dyDescent="0.35">
      <c r="A25">
        <v>10</v>
      </c>
      <c r="B25" t="s">
        <v>71</v>
      </c>
      <c r="C25" t="s">
        <v>43</v>
      </c>
      <c r="K25" s="3">
        <v>46105</v>
      </c>
      <c r="M25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N25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O25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P25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Q25" t="s">
        <v>69</v>
      </c>
    </row>
    <row r="26" spans="1:17" x14ac:dyDescent="0.35">
      <c r="K26" s="3"/>
      <c r="M26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N26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O26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P26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</row>
    <row r="27" spans="1:17" x14ac:dyDescent="0.35">
      <c r="A27">
        <v>17</v>
      </c>
      <c r="B27" t="s">
        <v>72</v>
      </c>
      <c r="C27" t="s">
        <v>73</v>
      </c>
      <c r="D27" t="s">
        <v>37</v>
      </c>
      <c r="K27" s="3">
        <v>46011</v>
      </c>
      <c r="L27" t="s">
        <v>20</v>
      </c>
      <c r="M27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27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27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27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27" t="s">
        <v>21</v>
      </c>
    </row>
    <row r="28" spans="1:17" x14ac:dyDescent="0.35">
      <c r="A28">
        <v>17</v>
      </c>
      <c r="B28" t="s">
        <v>74</v>
      </c>
      <c r="C28" t="s">
        <v>73</v>
      </c>
      <c r="K28" s="3">
        <v>46042</v>
      </c>
      <c r="L28" t="s">
        <v>20</v>
      </c>
      <c r="M28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N28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O28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P28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Q28" t="s">
        <v>46</v>
      </c>
    </row>
    <row r="29" spans="1:17" x14ac:dyDescent="0.35">
      <c r="A29">
        <v>17</v>
      </c>
      <c r="B29" t="s">
        <v>75</v>
      </c>
      <c r="C29" t="s">
        <v>76</v>
      </c>
      <c r="D29" t="s">
        <v>77</v>
      </c>
      <c r="E29" t="s">
        <v>27</v>
      </c>
      <c r="F29" t="s">
        <v>78</v>
      </c>
      <c r="G29" t="s">
        <v>36</v>
      </c>
      <c r="K29" s="3">
        <v>46000</v>
      </c>
      <c r="L29" t="s">
        <v>20</v>
      </c>
      <c r="M29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N29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O29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P29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Q29" t="s">
        <v>46</v>
      </c>
    </row>
    <row r="30" spans="1:17" x14ac:dyDescent="0.35">
      <c r="A30">
        <v>17</v>
      </c>
      <c r="B30" t="s">
        <v>79</v>
      </c>
      <c r="C30" t="s">
        <v>76</v>
      </c>
      <c r="D30" t="s">
        <v>77</v>
      </c>
      <c r="E30" t="s">
        <v>80</v>
      </c>
      <c r="K30" s="3">
        <v>46066</v>
      </c>
      <c r="L30" t="s">
        <v>20</v>
      </c>
      <c r="M30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30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30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30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30" t="s">
        <v>21</v>
      </c>
    </row>
    <row r="31" spans="1:17" x14ac:dyDescent="0.35">
      <c r="A31">
        <v>17</v>
      </c>
      <c r="B31" t="s">
        <v>81</v>
      </c>
      <c r="C31" t="s">
        <v>76</v>
      </c>
      <c r="D31" t="s">
        <v>32</v>
      </c>
      <c r="K31" s="3">
        <v>46066</v>
      </c>
      <c r="L31" t="s">
        <v>20</v>
      </c>
      <c r="M31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31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31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31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31" t="s">
        <v>21</v>
      </c>
    </row>
    <row r="32" spans="1:17" x14ac:dyDescent="0.35">
      <c r="A32">
        <v>17</v>
      </c>
      <c r="B32" t="s">
        <v>82</v>
      </c>
      <c r="K32" s="3">
        <v>46072</v>
      </c>
      <c r="L32" t="s">
        <v>20</v>
      </c>
      <c r="M32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32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32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P32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Q32" t="s">
        <v>60</v>
      </c>
    </row>
    <row r="33" spans="1:17" x14ac:dyDescent="0.35">
      <c r="A33">
        <v>17</v>
      </c>
      <c r="B33" t="s">
        <v>83</v>
      </c>
      <c r="K33" s="3">
        <v>46084</v>
      </c>
      <c r="L33" t="s">
        <v>20</v>
      </c>
      <c r="M33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33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33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33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33" t="s">
        <v>21</v>
      </c>
    </row>
    <row r="34" spans="1:17" x14ac:dyDescent="0.35">
      <c r="A34">
        <v>17</v>
      </c>
      <c r="B34" t="s">
        <v>84</v>
      </c>
      <c r="C34" t="s">
        <v>43</v>
      </c>
      <c r="D34" t="s">
        <v>64</v>
      </c>
      <c r="E34" t="s">
        <v>78</v>
      </c>
      <c r="F34" t="s">
        <v>85</v>
      </c>
      <c r="G34" t="s">
        <v>36</v>
      </c>
      <c r="K34" s="3">
        <v>46094</v>
      </c>
      <c r="L34" t="s">
        <v>20</v>
      </c>
      <c r="M34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34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34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34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34" t="s">
        <v>21</v>
      </c>
    </row>
    <row r="35" spans="1:17" x14ac:dyDescent="0.35">
      <c r="A35">
        <v>17</v>
      </c>
      <c r="B35" t="s">
        <v>86</v>
      </c>
      <c r="K35" s="3"/>
      <c r="L35" t="s">
        <v>20</v>
      </c>
      <c r="M35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35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O35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P35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Q35" t="s">
        <v>12</v>
      </c>
    </row>
    <row r="36" spans="1:17" x14ac:dyDescent="0.35">
      <c r="A36">
        <v>17</v>
      </c>
      <c r="B36" t="s">
        <v>87</v>
      </c>
      <c r="C36" t="s">
        <v>78</v>
      </c>
      <c r="D36" t="s">
        <v>36</v>
      </c>
      <c r="E36" t="s">
        <v>88</v>
      </c>
      <c r="K36" s="3">
        <v>46107</v>
      </c>
      <c r="L36" t="s">
        <v>20</v>
      </c>
      <c r="M36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36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36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36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36" t="s">
        <v>21</v>
      </c>
    </row>
    <row r="37" spans="1:17" x14ac:dyDescent="0.35">
      <c r="K37" s="3"/>
      <c r="M37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N37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O37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P37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</row>
    <row r="38" spans="1:17" x14ac:dyDescent="0.35">
      <c r="A38">
        <v>8</v>
      </c>
      <c r="B38" t="s">
        <v>89</v>
      </c>
      <c r="C38" t="s">
        <v>90</v>
      </c>
      <c r="D38" t="s">
        <v>27</v>
      </c>
      <c r="E38" t="s">
        <v>62</v>
      </c>
      <c r="F38" t="s">
        <v>91</v>
      </c>
      <c r="G38" t="s">
        <v>32</v>
      </c>
      <c r="H38" t="s">
        <v>44</v>
      </c>
      <c r="I38" t="s">
        <v>41</v>
      </c>
      <c r="J38" t="s">
        <v>92</v>
      </c>
      <c r="K38" s="3">
        <v>45965</v>
      </c>
      <c r="L38" t="s">
        <v>20</v>
      </c>
      <c r="M38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N38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O38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P38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Q38" t="s">
        <v>46</v>
      </c>
    </row>
    <row r="39" spans="1:17" x14ac:dyDescent="0.35">
      <c r="A39">
        <v>8</v>
      </c>
      <c r="B39" t="s">
        <v>93</v>
      </c>
      <c r="C39" t="s">
        <v>94</v>
      </c>
      <c r="D39" t="s">
        <v>32</v>
      </c>
      <c r="E39" t="s">
        <v>85</v>
      </c>
      <c r="K39" s="3">
        <v>45983</v>
      </c>
      <c r="L39" t="s">
        <v>20</v>
      </c>
      <c r="M39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N39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O39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P39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Q39" t="s">
        <v>46</v>
      </c>
    </row>
    <row r="40" spans="1:17" x14ac:dyDescent="0.35">
      <c r="A40">
        <v>8</v>
      </c>
      <c r="B40" t="s">
        <v>95</v>
      </c>
      <c r="C40" t="s">
        <v>90</v>
      </c>
      <c r="D40" t="s">
        <v>37</v>
      </c>
      <c r="K40" s="3">
        <v>45994</v>
      </c>
      <c r="L40" t="s">
        <v>20</v>
      </c>
      <c r="M40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N40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O40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P40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Q40" t="s">
        <v>96</v>
      </c>
    </row>
    <row r="41" spans="1:17" x14ac:dyDescent="0.35">
      <c r="A41">
        <v>8</v>
      </c>
      <c r="B41" t="s">
        <v>97</v>
      </c>
      <c r="C41" t="s">
        <v>98</v>
      </c>
      <c r="K41" s="3">
        <v>46000</v>
      </c>
      <c r="L41" t="s">
        <v>20</v>
      </c>
      <c r="M41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41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41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41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41" t="s">
        <v>21</v>
      </c>
    </row>
    <row r="42" spans="1:17" x14ac:dyDescent="0.35">
      <c r="A42">
        <v>8</v>
      </c>
      <c r="B42" t="s">
        <v>99</v>
      </c>
      <c r="C42" t="s">
        <v>94</v>
      </c>
      <c r="D42" t="s">
        <v>36</v>
      </c>
      <c r="E42" t="s">
        <v>100</v>
      </c>
      <c r="K42" s="3">
        <v>46044</v>
      </c>
      <c r="L42" t="s">
        <v>20</v>
      </c>
      <c r="M42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N42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O42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P42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Q42" t="s">
        <v>48</v>
      </c>
    </row>
    <row r="43" spans="1:17" x14ac:dyDescent="0.35">
      <c r="A43">
        <v>8</v>
      </c>
      <c r="B43" t="s">
        <v>101</v>
      </c>
      <c r="C43" t="s">
        <v>37</v>
      </c>
      <c r="D43" t="s">
        <v>90</v>
      </c>
      <c r="K43" s="3">
        <v>46048</v>
      </c>
      <c r="L43" t="s">
        <v>20</v>
      </c>
      <c r="M43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43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43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43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43" t="s">
        <v>21</v>
      </c>
    </row>
    <row r="44" spans="1:17" x14ac:dyDescent="0.35">
      <c r="A44">
        <v>8</v>
      </c>
      <c r="B44" t="s">
        <v>102</v>
      </c>
      <c r="K44" s="3">
        <v>46057</v>
      </c>
      <c r="L44" t="s">
        <v>20</v>
      </c>
      <c r="M44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N44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O44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P44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Q44" t="s">
        <v>48</v>
      </c>
    </row>
    <row r="45" spans="1:17" x14ac:dyDescent="0.35">
      <c r="A45">
        <v>8</v>
      </c>
      <c r="B45" t="s">
        <v>103</v>
      </c>
      <c r="C45" t="s">
        <v>37</v>
      </c>
      <c r="D45" t="s">
        <v>90</v>
      </c>
      <c r="E45" t="s">
        <v>104</v>
      </c>
      <c r="K45" s="3">
        <v>46065</v>
      </c>
      <c r="L45" t="s">
        <v>20</v>
      </c>
      <c r="M45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45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45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45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45" t="s">
        <v>21</v>
      </c>
    </row>
    <row r="46" spans="1:17" x14ac:dyDescent="0.35">
      <c r="A46">
        <v>8</v>
      </c>
      <c r="B46" t="s">
        <v>105</v>
      </c>
      <c r="C46" t="s">
        <v>41</v>
      </c>
      <c r="D46" t="s">
        <v>40</v>
      </c>
      <c r="E46" t="s">
        <v>104</v>
      </c>
      <c r="F46" t="s">
        <v>42</v>
      </c>
      <c r="G46" t="s">
        <v>90</v>
      </c>
      <c r="H46" t="s">
        <v>37</v>
      </c>
      <c r="K46" s="3">
        <v>46064</v>
      </c>
      <c r="L46" t="s">
        <v>20</v>
      </c>
      <c r="M46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46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46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46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46" t="s">
        <v>21</v>
      </c>
    </row>
    <row r="47" spans="1:17" x14ac:dyDescent="0.35">
      <c r="A47">
        <v>8</v>
      </c>
      <c r="B47" t="s">
        <v>106</v>
      </c>
      <c r="C47" t="s">
        <v>94</v>
      </c>
      <c r="K47" s="3">
        <v>46066</v>
      </c>
      <c r="L47" t="s">
        <v>20</v>
      </c>
      <c r="M47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47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47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47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47" t="s">
        <v>21</v>
      </c>
    </row>
    <row r="48" spans="1:17" x14ac:dyDescent="0.35">
      <c r="A48">
        <v>8</v>
      </c>
      <c r="B48" t="s">
        <v>107</v>
      </c>
      <c r="C48" t="s">
        <v>62</v>
      </c>
      <c r="D48" t="s">
        <v>108</v>
      </c>
      <c r="E48" t="s">
        <v>27</v>
      </c>
      <c r="K48" s="3">
        <v>46069</v>
      </c>
      <c r="L48" t="s">
        <v>20</v>
      </c>
      <c r="M48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48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48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48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48" t="s">
        <v>21</v>
      </c>
    </row>
    <row r="49" spans="1:17" x14ac:dyDescent="0.35">
      <c r="A49">
        <v>8</v>
      </c>
      <c r="B49" t="s">
        <v>109</v>
      </c>
      <c r="C49" t="s">
        <v>94</v>
      </c>
      <c r="D49" t="s">
        <v>36</v>
      </c>
      <c r="K49" s="3">
        <v>46079</v>
      </c>
      <c r="L49" t="s">
        <v>20</v>
      </c>
      <c r="M49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49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49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49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49" t="s">
        <v>21</v>
      </c>
    </row>
    <row r="50" spans="1:17" x14ac:dyDescent="0.35">
      <c r="A50">
        <v>8</v>
      </c>
      <c r="B50" t="s">
        <v>110</v>
      </c>
      <c r="C50" t="s">
        <v>108</v>
      </c>
      <c r="D50" t="s">
        <v>27</v>
      </c>
      <c r="E50" t="s">
        <v>32</v>
      </c>
      <c r="K50" s="3">
        <v>46086</v>
      </c>
      <c r="L50" t="s">
        <v>20</v>
      </c>
      <c r="M50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50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50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50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50" t="s">
        <v>21</v>
      </c>
    </row>
    <row r="51" spans="1:17" x14ac:dyDescent="0.35">
      <c r="A51">
        <v>8</v>
      </c>
      <c r="B51" t="s">
        <v>111</v>
      </c>
      <c r="C51" t="s">
        <v>90</v>
      </c>
      <c r="D51" t="s">
        <v>37</v>
      </c>
      <c r="E51" t="s">
        <v>42</v>
      </c>
      <c r="K51" s="3">
        <v>46086</v>
      </c>
      <c r="L51" t="s">
        <v>20</v>
      </c>
      <c r="M51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51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51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51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51" t="s">
        <v>21</v>
      </c>
    </row>
    <row r="52" spans="1:17" x14ac:dyDescent="0.35">
      <c r="A52">
        <v>8</v>
      </c>
      <c r="B52" t="s">
        <v>112</v>
      </c>
      <c r="C52" t="s">
        <v>90</v>
      </c>
      <c r="D52" t="s">
        <v>113</v>
      </c>
      <c r="E52" t="s">
        <v>98</v>
      </c>
      <c r="F52" t="s">
        <v>114</v>
      </c>
      <c r="G52" t="s">
        <v>94</v>
      </c>
      <c r="K52" s="3">
        <v>46111</v>
      </c>
      <c r="L52" t="s">
        <v>20</v>
      </c>
      <c r="M52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52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52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52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52" t="s">
        <v>21</v>
      </c>
    </row>
    <row r="53" spans="1:17" x14ac:dyDescent="0.35">
      <c r="A53">
        <v>8</v>
      </c>
      <c r="B53" t="s">
        <v>115</v>
      </c>
      <c r="C53" t="s">
        <v>94</v>
      </c>
      <c r="D53" t="s">
        <v>36</v>
      </c>
      <c r="E53" t="s">
        <v>85</v>
      </c>
      <c r="K53" s="3">
        <v>46106</v>
      </c>
      <c r="L53" t="s">
        <v>20</v>
      </c>
      <c r="M53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53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53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53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53" t="s">
        <v>21</v>
      </c>
    </row>
    <row r="54" spans="1:17" x14ac:dyDescent="0.35">
      <c r="A54">
        <v>8</v>
      </c>
      <c r="B54" t="s">
        <v>116</v>
      </c>
      <c r="C54" t="s">
        <v>94</v>
      </c>
      <c r="K54" s="3">
        <v>46113</v>
      </c>
      <c r="L54" t="s">
        <v>20</v>
      </c>
      <c r="M54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54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54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54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54" t="s">
        <v>21</v>
      </c>
    </row>
    <row r="55" spans="1:17" x14ac:dyDescent="0.35">
      <c r="K55" s="3"/>
      <c r="M55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N55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O55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P55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</row>
    <row r="56" spans="1:17" x14ac:dyDescent="0.35">
      <c r="A56">
        <v>11</v>
      </c>
      <c r="B56" t="s">
        <v>117</v>
      </c>
      <c r="C56" t="s">
        <v>118</v>
      </c>
      <c r="D56" t="s">
        <v>36</v>
      </c>
      <c r="E56" t="s">
        <v>85</v>
      </c>
      <c r="F56" t="s">
        <v>119</v>
      </c>
      <c r="K56" s="3">
        <v>45971</v>
      </c>
      <c r="L56" t="s">
        <v>20</v>
      </c>
      <c r="M56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56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56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56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56" t="s">
        <v>21</v>
      </c>
    </row>
    <row r="57" spans="1:17" x14ac:dyDescent="0.35">
      <c r="A57">
        <v>11</v>
      </c>
      <c r="B57" t="s">
        <v>120</v>
      </c>
      <c r="C57" t="s">
        <v>78</v>
      </c>
      <c r="K57" s="3">
        <v>45994</v>
      </c>
      <c r="L57" t="s">
        <v>20</v>
      </c>
      <c r="M57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57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57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57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57" t="s">
        <v>21</v>
      </c>
    </row>
    <row r="58" spans="1:17" x14ac:dyDescent="0.35">
      <c r="A58">
        <v>11</v>
      </c>
      <c r="B58" t="s">
        <v>121</v>
      </c>
      <c r="C58" t="s">
        <v>118</v>
      </c>
      <c r="D58" t="s">
        <v>36</v>
      </c>
      <c r="E58" t="s">
        <v>114</v>
      </c>
      <c r="F58" t="s">
        <v>119</v>
      </c>
      <c r="G58" t="s">
        <v>122</v>
      </c>
      <c r="K58" s="3">
        <v>45995</v>
      </c>
      <c r="L58" t="s">
        <v>20</v>
      </c>
      <c r="M58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58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58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P58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Q58" t="s">
        <v>21</v>
      </c>
    </row>
    <row r="59" spans="1:17" x14ac:dyDescent="0.35">
      <c r="A59">
        <v>11</v>
      </c>
      <c r="B59" t="s">
        <v>123</v>
      </c>
      <c r="C59" t="s">
        <v>23</v>
      </c>
      <c r="D59" t="s">
        <v>62</v>
      </c>
      <c r="E59" t="s">
        <v>114</v>
      </c>
      <c r="K59" s="3">
        <v>46002</v>
      </c>
      <c r="L59" t="s">
        <v>20</v>
      </c>
      <c r="M59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N59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O59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P59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Q59" t="s">
        <v>96</v>
      </c>
    </row>
    <row r="60" spans="1:17" x14ac:dyDescent="0.35">
      <c r="A60">
        <v>11</v>
      </c>
      <c r="B60" t="s">
        <v>124</v>
      </c>
      <c r="C60" t="s">
        <v>118</v>
      </c>
      <c r="D60" t="s">
        <v>36</v>
      </c>
      <c r="E60" t="s">
        <v>114</v>
      </c>
      <c r="F60" t="s">
        <v>119</v>
      </c>
      <c r="K60" s="3">
        <v>46006</v>
      </c>
      <c r="L60" t="s">
        <v>20</v>
      </c>
      <c r="M60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N60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O60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P60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Q60" t="s">
        <v>96</v>
      </c>
    </row>
    <row r="61" spans="1:17" x14ac:dyDescent="0.35">
      <c r="A61">
        <v>11</v>
      </c>
      <c r="B61" t="s">
        <v>125</v>
      </c>
      <c r="C61" t="s">
        <v>118</v>
      </c>
      <c r="D61" t="s">
        <v>27</v>
      </c>
      <c r="E61" t="s">
        <v>80</v>
      </c>
      <c r="K61" s="3">
        <v>46062</v>
      </c>
      <c r="L61" t="s">
        <v>20</v>
      </c>
      <c r="M61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N61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O61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P61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>-</v>
      </c>
      <c r="Q61" t="s">
        <v>48</v>
      </c>
    </row>
    <row r="62" spans="1:17" x14ac:dyDescent="0.35">
      <c r="A62">
        <v>11</v>
      </c>
      <c r="B62" t="s">
        <v>126</v>
      </c>
      <c r="C62" t="s">
        <v>118</v>
      </c>
      <c r="D62" t="s">
        <v>77</v>
      </c>
      <c r="E62" t="s">
        <v>127</v>
      </c>
      <c r="F62" t="s">
        <v>98</v>
      </c>
      <c r="G62" t="s">
        <v>113</v>
      </c>
      <c r="H62" t="s">
        <v>36</v>
      </c>
      <c r="I62" t="s">
        <v>85</v>
      </c>
      <c r="K62" s="3">
        <v>46065</v>
      </c>
      <c r="L62" t="s">
        <v>20</v>
      </c>
      <c r="M62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62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62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P62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Q62" t="s">
        <v>60</v>
      </c>
    </row>
    <row r="63" spans="1:17" x14ac:dyDescent="0.35">
      <c r="A63">
        <v>11</v>
      </c>
      <c r="B63" t="s">
        <v>128</v>
      </c>
      <c r="C63" t="s">
        <v>129</v>
      </c>
      <c r="D63" t="s">
        <v>37</v>
      </c>
      <c r="K63" s="3">
        <v>46078</v>
      </c>
      <c r="L63" t="s">
        <v>20</v>
      </c>
      <c r="M63" s="4" t="str">
        <f>IF(OR(Table32357911141618202224[[#This Row],[O/C]]="6W2H",Table32357911141618202224[[#This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N63" s="4" t="str">
        <f>IF(OR(Table32357911141618202224[[#This Row],[O/C]]="BCC",Table32357911141618202224[[#This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 xml:space="preserve"> X </v>
      </c>
      <c r="O63" s="4" t="str">
        <f>IF(OR(Table32357911141618202224[[#This Row],[O/C]]="5W",Table32357911141618202224[[#This Row],[O/C]]="Resume",Table32357911141618202224[[#This Row],[O/C]]="Closing",Table32357911141618202224[[#This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P63" s="4" t="str">
        <f>IF(OR(Table32357911141618202224[[#This Row],[O/C]]="Closed")," X ",IF(OR(Table32357911141618202224[[#This Row],[O/C]]="Cancelled",Table32357911141618202224[[#This Row],[O/C]]="Merged",Table32357911141618202224[[#This Row],[O/C]]="Missing",Table32357911141618202224[[#This Row],[O/C]]="Merged",Table32357911141618202224[[#This Row],[O/C]]="Ascended"),"-",""))</f>
        <v/>
      </c>
      <c r="Q63" t="s">
        <v>60</v>
      </c>
    </row>
    <row r="64" spans="1:17" x14ac:dyDescent="0.35">
      <c r="K64" s="3"/>
      <c r="M64" s="4"/>
      <c r="N64" s="4"/>
      <c r="O64" s="4"/>
      <c r="P64" s="4"/>
    </row>
    <row r="65" spans="1:16" x14ac:dyDescent="0.35">
      <c r="K65" s="3"/>
      <c r="M65" s="4"/>
      <c r="N65" s="4"/>
      <c r="O65" s="4"/>
      <c r="P65" s="4"/>
    </row>
    <row r="66" spans="1:16" x14ac:dyDescent="0.35">
      <c r="K66" s="3"/>
      <c r="M66" s="4"/>
      <c r="N66" s="4"/>
      <c r="O66" s="4"/>
      <c r="P66" s="4"/>
    </row>
    <row r="67" spans="1:16" x14ac:dyDescent="0.35">
      <c r="K67" s="3"/>
      <c r="M67" s="4"/>
      <c r="N67" s="4"/>
      <c r="O67" s="4"/>
      <c r="P67" s="4"/>
    </row>
    <row r="68" spans="1:16" x14ac:dyDescent="0.35">
      <c r="K68" s="3"/>
      <c r="M68" s="4"/>
      <c r="N68" s="4"/>
      <c r="O68" s="4"/>
      <c r="P68" s="4"/>
    </row>
    <row r="69" spans="1:16" x14ac:dyDescent="0.35">
      <c r="K69" s="3"/>
      <c r="M69" s="4"/>
      <c r="N69" s="4"/>
      <c r="O69" s="4"/>
      <c r="P69" s="4"/>
    </row>
    <row r="70" spans="1:16" x14ac:dyDescent="0.35">
      <c r="K70" s="3"/>
      <c r="M70" s="4"/>
      <c r="N70" s="4"/>
      <c r="O70" s="4"/>
      <c r="P70" s="4"/>
    </row>
    <row r="71" spans="1:16" x14ac:dyDescent="0.35">
      <c r="B71" s="5" t="s">
        <v>130</v>
      </c>
      <c r="K71" s="3"/>
      <c r="M71" s="4"/>
      <c r="N71" s="4"/>
      <c r="O71" s="4"/>
      <c r="P71" s="4"/>
    </row>
    <row r="72" spans="1:16" x14ac:dyDescent="0.35">
      <c r="A72" t="e" cm="1" vm="1">
        <f t="array" ref="A72">_xlfn._xlws.SORT(_xlfn._xlws.FILTER(A2:Q66, Q2:Q66="Closing"), 1, TRUE)</f>
        <v>#VALUE!</v>
      </c>
      <c r="K72" s="3"/>
      <c r="M72" s="4"/>
      <c r="N72" s="4"/>
      <c r="O72" s="4"/>
      <c r="P72" s="4"/>
    </row>
    <row r="73" spans="1:16" x14ac:dyDescent="0.35">
      <c r="K73" s="3"/>
      <c r="M73" s="4"/>
      <c r="N73" s="4"/>
      <c r="O73" s="4"/>
      <c r="P73" s="4"/>
    </row>
    <row r="74" spans="1:16" x14ac:dyDescent="0.35">
      <c r="K74" s="3"/>
      <c r="M74" s="4"/>
      <c r="N74" s="4"/>
      <c r="O74" s="4"/>
      <c r="P74" s="4"/>
    </row>
    <row r="75" spans="1:16" x14ac:dyDescent="0.35">
      <c r="K75" s="3"/>
      <c r="M75" s="4"/>
      <c r="N75" s="4"/>
      <c r="O75" s="4"/>
      <c r="P75" s="4"/>
    </row>
    <row r="76" spans="1:16" x14ac:dyDescent="0.35">
      <c r="K76" s="3"/>
      <c r="M76" s="4"/>
      <c r="N76" s="4"/>
      <c r="O76" s="4"/>
      <c r="P76" s="4"/>
    </row>
    <row r="77" spans="1:16" x14ac:dyDescent="0.35">
      <c r="K77" s="3"/>
      <c r="M77" s="4"/>
      <c r="N77" s="4"/>
      <c r="O77" s="4"/>
      <c r="P77" s="4"/>
    </row>
    <row r="78" spans="1:16" x14ac:dyDescent="0.35">
      <c r="K78" s="3"/>
      <c r="M78" s="4"/>
      <c r="N78" s="4"/>
      <c r="O78" s="4"/>
      <c r="P78" s="4"/>
    </row>
    <row r="79" spans="1:16" x14ac:dyDescent="0.35">
      <c r="K79" s="3"/>
      <c r="M79" s="4"/>
      <c r="N79" s="4"/>
      <c r="O79" s="4"/>
      <c r="P79" s="4"/>
    </row>
    <row r="80" spans="1:16" x14ac:dyDescent="0.35">
      <c r="K80" s="3"/>
      <c r="M80" s="4"/>
      <c r="N80" s="4"/>
      <c r="O80" s="4"/>
      <c r="P80" s="4"/>
    </row>
    <row r="81" spans="11:16" x14ac:dyDescent="0.35">
      <c r="K81" s="3"/>
      <c r="M81" s="4"/>
      <c r="N81" s="4"/>
      <c r="O81" s="4"/>
      <c r="P81" s="4"/>
    </row>
    <row r="82" spans="11:16" x14ac:dyDescent="0.35">
      <c r="K82" s="3"/>
      <c r="M82" s="4"/>
      <c r="N82" s="4"/>
      <c r="O82" s="4"/>
      <c r="P82" s="4"/>
    </row>
    <row r="83" spans="11:16" x14ac:dyDescent="0.35">
      <c r="K83" s="3"/>
      <c r="M83" s="4"/>
      <c r="N83" s="4"/>
      <c r="O83" s="4"/>
      <c r="P83" s="4"/>
    </row>
    <row r="84" spans="11:16" x14ac:dyDescent="0.35">
      <c r="K84" s="3"/>
      <c r="M84" s="4"/>
      <c r="N84" s="4"/>
      <c r="O84" s="4"/>
      <c r="P84" s="4"/>
    </row>
    <row r="85" spans="11:16" x14ac:dyDescent="0.35">
      <c r="K85" s="3"/>
      <c r="M85" s="4"/>
      <c r="N85" s="4"/>
      <c r="O85" s="4"/>
      <c r="P85" s="4"/>
    </row>
    <row r="86" spans="11:16" x14ac:dyDescent="0.35">
      <c r="K86" s="3"/>
      <c r="M86" s="4"/>
      <c r="N86" s="4"/>
      <c r="O86" s="4"/>
      <c r="P86" s="4"/>
    </row>
    <row r="87" spans="11:16" x14ac:dyDescent="0.35">
      <c r="K87" s="3"/>
      <c r="M87" s="4"/>
      <c r="N87" s="4"/>
      <c r="O87" s="4"/>
      <c r="P87" s="4"/>
    </row>
    <row r="88" spans="11:16" x14ac:dyDescent="0.35">
      <c r="K88" s="3"/>
      <c r="M88" s="4"/>
      <c r="N88" s="4"/>
      <c r="O88" s="4"/>
      <c r="P88" s="4"/>
    </row>
    <row r="89" spans="11:16" x14ac:dyDescent="0.35">
      <c r="K89" s="3"/>
      <c r="M89" s="4"/>
      <c r="N89" s="4"/>
      <c r="O89" s="4"/>
      <c r="P89" s="4"/>
    </row>
    <row r="90" spans="11:16" x14ac:dyDescent="0.35">
      <c r="K90" s="3"/>
      <c r="M90" s="4"/>
      <c r="N90" s="4"/>
      <c r="O90" s="4"/>
      <c r="P90" s="4"/>
    </row>
    <row r="91" spans="11:16" x14ac:dyDescent="0.35">
      <c r="K91" s="3"/>
      <c r="M91" s="4"/>
      <c r="N91" s="4"/>
      <c r="O91" s="4"/>
      <c r="P91" s="4"/>
    </row>
    <row r="92" spans="11:16" x14ac:dyDescent="0.35">
      <c r="K92" s="3"/>
      <c r="M92" s="4"/>
      <c r="N92" s="4"/>
      <c r="O92" s="4"/>
      <c r="P92" s="4"/>
    </row>
    <row r="99" spans="1:17" x14ac:dyDescent="0.35">
      <c r="B99" s="6" t="s">
        <v>131</v>
      </c>
    </row>
    <row r="100" spans="1:17" x14ac:dyDescent="0.35">
      <c r="B100" s="6"/>
    </row>
    <row r="101" spans="1:17" x14ac:dyDescent="0.35">
      <c r="B101" s="7"/>
    </row>
    <row r="102" spans="1:17" x14ac:dyDescent="0.35">
      <c r="B102" s="8" t="s">
        <v>132</v>
      </c>
    </row>
    <row r="103" spans="1:17" x14ac:dyDescent="0.35">
      <c r="B103" s="9"/>
    </row>
    <row r="104" spans="1:17" x14ac:dyDescent="0.35">
      <c r="A104" s="5" t="s">
        <v>0</v>
      </c>
      <c r="B104" s="5" t="s">
        <v>1</v>
      </c>
      <c r="C104" s="5" t="s">
        <v>2</v>
      </c>
      <c r="D104" s="5" t="s">
        <v>3</v>
      </c>
      <c r="E104" s="5" t="s">
        <v>4</v>
      </c>
      <c r="F104" s="5" t="s">
        <v>5</v>
      </c>
      <c r="G104" s="5" t="s">
        <v>6</v>
      </c>
      <c r="H104" s="5" t="s">
        <v>7</v>
      </c>
      <c r="I104" s="5" t="s">
        <v>8</v>
      </c>
      <c r="J104" s="5" t="s">
        <v>9</v>
      </c>
      <c r="K104" s="5" t="s">
        <v>10</v>
      </c>
      <c r="L104" s="5" t="s">
        <v>133</v>
      </c>
      <c r="M104" s="5" t="s">
        <v>134</v>
      </c>
      <c r="N104" s="5" t="s">
        <v>13</v>
      </c>
      <c r="O104" s="5" t="s">
        <v>14</v>
      </c>
      <c r="P104" s="5" t="s">
        <v>15</v>
      </c>
      <c r="Q104" s="5" t="s">
        <v>16</v>
      </c>
    </row>
    <row r="105" spans="1:17" x14ac:dyDescent="0.35">
      <c r="A105" s="10" t="e" cm="1">
        <f t="array" ref="A105">_xlfn._xlws.SORT(_xlfn._xlws.FILTER($B$2:$R$28,(ISNUMBER(MATCH(TRIM($Q$2:$Q$68),{"Open","6W2H","BCC","5W"},0)))*(ISNUMBER(MATCH($A$2:$A$68,{7,9},0)))),1,TRUE)</f>
        <v>#VALUE!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2"/>
      <c r="L105" s="11"/>
      <c r="M105" s="13"/>
      <c r="N105" s="13"/>
      <c r="O105" s="13"/>
      <c r="P105" s="13"/>
      <c r="Q105" s="2"/>
    </row>
    <row r="106" spans="1:17" x14ac:dyDescent="0.35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2"/>
      <c r="L106" s="11"/>
      <c r="M106" s="13"/>
      <c r="N106" s="13"/>
      <c r="O106" s="13"/>
      <c r="P106" s="13"/>
      <c r="Q106" s="2"/>
    </row>
    <row r="107" spans="1:17" x14ac:dyDescent="0.35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2"/>
      <c r="L107" s="11"/>
      <c r="M107" s="13"/>
      <c r="N107" s="13"/>
      <c r="O107" s="13"/>
      <c r="P107" s="13"/>
      <c r="Q107" s="2"/>
    </row>
    <row r="108" spans="1:17" x14ac:dyDescent="0.35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2"/>
      <c r="L108" s="11"/>
      <c r="M108" s="13"/>
      <c r="N108" s="13"/>
      <c r="O108" s="13"/>
      <c r="P108" s="13"/>
      <c r="Q108" s="2"/>
    </row>
    <row r="109" spans="1:17" x14ac:dyDescent="0.35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2"/>
      <c r="L109" s="11"/>
      <c r="M109" s="13"/>
      <c r="N109" s="13"/>
      <c r="O109" s="13"/>
      <c r="P109" s="13"/>
      <c r="Q109" s="2"/>
    </row>
    <row r="110" spans="1:17" x14ac:dyDescent="0.3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</row>
    <row r="111" spans="1:17" x14ac:dyDescent="0.35">
      <c r="B111" s="15" t="s">
        <v>135</v>
      </c>
    </row>
    <row r="112" spans="1:17" x14ac:dyDescent="0.35">
      <c r="B112" s="16"/>
    </row>
    <row r="113" spans="1:17" x14ac:dyDescent="0.35">
      <c r="A113" s="5" t="s">
        <v>0</v>
      </c>
      <c r="B113" s="5" t="s">
        <v>1</v>
      </c>
      <c r="C113" s="5" t="s">
        <v>2</v>
      </c>
      <c r="D113" s="5" t="s">
        <v>3</v>
      </c>
      <c r="E113" s="5" t="s">
        <v>4</v>
      </c>
      <c r="F113" s="5" t="s">
        <v>5</v>
      </c>
      <c r="G113" s="5" t="s">
        <v>6</v>
      </c>
      <c r="H113" s="5" t="s">
        <v>7</v>
      </c>
      <c r="I113" s="5" t="s">
        <v>8</v>
      </c>
      <c r="J113" s="5" t="s">
        <v>9</v>
      </c>
      <c r="K113" s="5" t="s">
        <v>10</v>
      </c>
      <c r="L113" s="5" t="s">
        <v>133</v>
      </c>
      <c r="M113" s="5" t="s">
        <v>12</v>
      </c>
      <c r="N113" s="5" t="s">
        <v>13</v>
      </c>
      <c r="O113" s="5" t="s">
        <v>14</v>
      </c>
      <c r="P113" s="5" t="s">
        <v>15</v>
      </c>
      <c r="Q113" s="5" t="s">
        <v>16</v>
      </c>
    </row>
    <row r="114" spans="1:17" x14ac:dyDescent="0.35">
      <c r="A114" s="10" cm="1">
        <f t="array" ref="A114:Q115">_xlfn._xlws.SORT(_xlfn._xlws.FILTER($A$2:$Q$68,(((TRIM($Q$2:$Q$68)="Open")+(TRIM($Q$2:$Q$68)="6W2H")+(TRIM($Q$2:$Q$68)="BCC")+(TRIM($Q$2:$Q$68)="5W"))*($A$2:$A$68=10))),1,TRUE)</f>
        <v>10</v>
      </c>
      <c r="B114" s="11" t="str">
        <v>Alineador deja de responder</v>
      </c>
      <c r="C114" s="11" t="str">
        <v>Victor.</v>
      </c>
      <c r="D114" s="11" t="str">
        <v>Edgar. B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2">
        <v>46085</v>
      </c>
      <c r="L114" s="11" t="str">
        <v>HUB</v>
      </c>
      <c r="M114" s="13" t="str">
        <v xml:space="preserve"> X </v>
      </c>
      <c r="N114" s="13" t="str">
        <v xml:space="preserve"> X </v>
      </c>
      <c r="O114" s="13" t="str">
        <v/>
      </c>
      <c r="P114" s="13" t="str">
        <v/>
      </c>
      <c r="Q114" s="2" t="str">
        <v>BCC</v>
      </c>
    </row>
    <row r="115" spans="1:17" x14ac:dyDescent="0.35">
      <c r="A115" s="10">
        <v>10</v>
      </c>
      <c r="B115" s="11" t="str">
        <v>VISU participante no alcanzable</v>
      </c>
      <c r="C115" s="11" t="str">
        <v>Heriberto C.</v>
      </c>
      <c r="D115" s="11" t="str">
        <v>Alejandro M.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2">
        <v>46087</v>
      </c>
      <c r="L115" s="11" t="str">
        <v>HUB</v>
      </c>
      <c r="M115" s="13" t="str">
        <v xml:space="preserve"> X </v>
      </c>
      <c r="N115" s="13" t="str">
        <v xml:space="preserve"> X </v>
      </c>
      <c r="O115" s="13" t="str">
        <v/>
      </c>
      <c r="P115" s="13" t="str">
        <v/>
      </c>
      <c r="Q115" s="2" t="str">
        <v>BCC</v>
      </c>
    </row>
    <row r="116" spans="1:17" x14ac:dyDescent="0.35">
      <c r="A116" s="10"/>
      <c r="B116" s="11"/>
      <c r="C116" s="11"/>
      <c r="D116" s="11"/>
      <c r="E116" s="11"/>
      <c r="F116" s="11"/>
      <c r="G116" s="11"/>
      <c r="H116" s="11"/>
      <c r="I116" s="11"/>
      <c r="J116" s="11"/>
      <c r="K116" s="12"/>
      <c r="L116" s="11"/>
      <c r="M116" s="13"/>
      <c r="N116" s="13"/>
      <c r="O116" s="13"/>
      <c r="P116" s="13"/>
      <c r="Q116" s="2"/>
    </row>
    <row r="117" spans="1:17" x14ac:dyDescent="0.35">
      <c r="A117" s="10"/>
      <c r="B117" s="11"/>
      <c r="C117" s="11"/>
      <c r="D117" s="11"/>
      <c r="E117" s="11"/>
      <c r="F117" s="11"/>
      <c r="G117" s="11"/>
      <c r="H117" s="11"/>
      <c r="I117" s="11"/>
      <c r="J117" s="11"/>
      <c r="K117" s="12"/>
      <c r="L117" s="11"/>
      <c r="M117" s="13"/>
      <c r="N117" s="13"/>
      <c r="O117" s="13"/>
      <c r="P117" s="13"/>
      <c r="Q117" s="2"/>
    </row>
    <row r="118" spans="1:17" x14ac:dyDescent="0.35">
      <c r="A118" s="10"/>
      <c r="B118" s="11"/>
      <c r="C118" s="11"/>
      <c r="D118" s="11"/>
      <c r="E118" s="11"/>
      <c r="F118" s="11"/>
      <c r="G118" s="11"/>
      <c r="H118" s="11"/>
      <c r="I118" s="11"/>
      <c r="J118" s="11"/>
      <c r="K118" s="12"/>
      <c r="L118" s="11"/>
      <c r="M118" s="13"/>
      <c r="N118" s="13"/>
      <c r="O118" s="13"/>
      <c r="P118" s="13"/>
      <c r="Q118" s="2"/>
    </row>
    <row r="119" spans="1:17" x14ac:dyDescent="0.3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</row>
    <row r="120" spans="1:17" x14ac:dyDescent="0.35">
      <c r="B120" s="17" t="s">
        <v>136</v>
      </c>
    </row>
    <row r="121" spans="1:17" x14ac:dyDescent="0.35">
      <c r="B121" s="18"/>
    </row>
    <row r="122" spans="1:17" x14ac:dyDescent="0.35">
      <c r="A122" s="5" t="s">
        <v>0</v>
      </c>
      <c r="B122" s="5" t="s">
        <v>1</v>
      </c>
      <c r="C122" s="5" t="s">
        <v>2</v>
      </c>
      <c r="D122" s="5" t="s">
        <v>3</v>
      </c>
      <c r="E122" s="5" t="s">
        <v>4</v>
      </c>
      <c r="F122" s="5" t="s">
        <v>5</v>
      </c>
      <c r="G122" s="5" t="s">
        <v>6</v>
      </c>
      <c r="H122" s="5" t="s">
        <v>7</v>
      </c>
      <c r="I122" s="5" t="s">
        <v>8</v>
      </c>
      <c r="J122" s="5" t="s">
        <v>9</v>
      </c>
      <c r="K122" s="5" t="s">
        <v>10</v>
      </c>
      <c r="L122" s="5" t="s">
        <v>133</v>
      </c>
      <c r="M122" s="5" t="s">
        <v>12</v>
      </c>
      <c r="N122" s="5" t="s">
        <v>13</v>
      </c>
      <c r="O122" s="5" t="s">
        <v>14</v>
      </c>
      <c r="P122" s="5" t="s">
        <v>15</v>
      </c>
      <c r="Q122" s="5" t="s">
        <v>16</v>
      </c>
    </row>
    <row r="123" spans="1:17" x14ac:dyDescent="0.35">
      <c r="A123" s="10" cm="1">
        <f t="array" ref="A123:Q124">_xlfn._xlws.SORT(_xlfn._xlws.FILTER($A$2:$Q$68,(((TRIM($Q$2:$Q$68)="Open")+(TRIM($Q$2:$Q$68)="6W2H")+(TRIM($Q$2:$Q$68)="BCC")+(TRIM($Q$2:$Q$68)="5W"))*($A$2:$A$68=17))),1,TRUE)</f>
        <v>17</v>
      </c>
      <c r="B123" s="11" t="str">
        <v>B27 No traspasa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2">
        <v>46072</v>
      </c>
      <c r="L123" s="11" t="str">
        <v>HUB</v>
      </c>
      <c r="M123" s="13" t="str">
        <v xml:space="preserve"> X </v>
      </c>
      <c r="N123" s="13" t="str">
        <v xml:space="preserve"> X </v>
      </c>
      <c r="O123" s="13" t="str">
        <v/>
      </c>
      <c r="P123" s="13" t="str">
        <v/>
      </c>
      <c r="Q123" s="2" t="str">
        <v>BCC</v>
      </c>
    </row>
    <row r="124" spans="1:17" x14ac:dyDescent="0.35">
      <c r="A124" s="10">
        <v>17</v>
      </c>
      <c r="B124" s="11" t="str">
        <v>FRR Alto Faltante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2">
        <v>0</v>
      </c>
      <c r="L124" s="11" t="str">
        <v>HUB</v>
      </c>
      <c r="M124" s="13" t="str">
        <v xml:space="preserve"> X </v>
      </c>
      <c r="N124" s="13" t="str">
        <v/>
      </c>
      <c r="O124" s="13" t="str">
        <v/>
      </c>
      <c r="P124" s="13" t="str">
        <v/>
      </c>
      <c r="Q124" s="2" t="str">
        <v>6W2H</v>
      </c>
    </row>
    <row r="125" spans="1:17" x14ac:dyDescent="0.35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2"/>
      <c r="L125" s="11"/>
      <c r="M125" s="13"/>
      <c r="N125" s="13"/>
      <c r="O125" s="13"/>
      <c r="P125" s="13"/>
      <c r="Q125" s="2"/>
    </row>
    <row r="126" spans="1:17" x14ac:dyDescent="0.35">
      <c r="A126" s="10"/>
      <c r="B126" s="11"/>
      <c r="C126" s="11"/>
      <c r="D126" s="11"/>
      <c r="E126" s="11"/>
      <c r="F126" s="11"/>
      <c r="G126" s="11"/>
      <c r="H126" s="11"/>
      <c r="I126" s="11"/>
      <c r="J126" s="11"/>
      <c r="K126" s="12"/>
      <c r="L126" s="11"/>
      <c r="M126" s="13"/>
      <c r="N126" s="13"/>
      <c r="O126" s="13"/>
      <c r="P126" s="13"/>
      <c r="Q126" s="2"/>
    </row>
    <row r="127" spans="1:17" x14ac:dyDescent="0.35">
      <c r="A127" s="10"/>
      <c r="B127" s="11"/>
      <c r="C127" s="11"/>
      <c r="D127" s="11"/>
      <c r="E127" s="11"/>
      <c r="F127" s="11"/>
      <c r="G127" s="11"/>
      <c r="H127" s="11"/>
      <c r="I127" s="11"/>
      <c r="J127" s="11"/>
      <c r="K127" s="12"/>
      <c r="L127" s="11"/>
      <c r="M127" s="13"/>
      <c r="N127" s="13"/>
      <c r="O127" s="13"/>
      <c r="P127" s="13"/>
      <c r="Q127" s="2"/>
    </row>
    <row r="128" spans="1:17" x14ac:dyDescent="0.3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</row>
    <row r="129" spans="1:17" x14ac:dyDescent="0.35">
      <c r="B129" s="19" t="s">
        <v>137</v>
      </c>
    </row>
    <row r="130" spans="1:17" x14ac:dyDescent="0.35">
      <c r="B130" s="20"/>
    </row>
    <row r="131" spans="1:17" x14ac:dyDescent="0.35">
      <c r="A131" s="5" t="s">
        <v>0</v>
      </c>
      <c r="B131" s="5" t="s">
        <v>1</v>
      </c>
      <c r="C131" s="5" t="s">
        <v>2</v>
      </c>
      <c r="D131" s="5" t="s">
        <v>3</v>
      </c>
      <c r="E131" s="5" t="s">
        <v>4</v>
      </c>
      <c r="F131" s="5" t="s">
        <v>5</v>
      </c>
      <c r="G131" s="5" t="s">
        <v>6</v>
      </c>
      <c r="H131" s="5" t="s">
        <v>7</v>
      </c>
      <c r="I131" s="5" t="s">
        <v>8</v>
      </c>
      <c r="J131" s="5" t="s">
        <v>9</v>
      </c>
      <c r="K131" s="5" t="s">
        <v>10</v>
      </c>
      <c r="L131" s="5" t="s">
        <v>133</v>
      </c>
      <c r="M131" s="5" t="s">
        <v>12</v>
      </c>
      <c r="N131" s="5" t="s">
        <v>13</v>
      </c>
      <c r="O131" s="5" t="s">
        <v>14</v>
      </c>
      <c r="P131" s="5" t="s">
        <v>15</v>
      </c>
      <c r="Q131" s="5" t="s">
        <v>16</v>
      </c>
    </row>
    <row r="132" spans="1:17" x14ac:dyDescent="0.35">
      <c r="A132" s="10" t="e" cm="1" vm="1">
        <f t="array" ref="A132">_xlfn._xlws.SORT(_xlfn._xlws.FILTER($A$2:$Q$68,(((TRIM($Q$2:$Q$68)="Open")+(TRIM($Q$2:$Q$68)="6W2H")+(TRIM($Q$2:$Q$68)="BCC")+(TRIM($Q$2:$Q$68)="5W"))*($A$2:$A$68=8))),1,TRUE)</f>
        <v>#VALUE!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2"/>
      <c r="L132" s="11"/>
      <c r="M132" s="13"/>
      <c r="N132" s="13"/>
      <c r="O132" s="13"/>
      <c r="P132" s="13"/>
      <c r="Q132" s="2"/>
    </row>
    <row r="133" spans="1:17" x14ac:dyDescent="0.35">
      <c r="A133" s="10"/>
      <c r="B133" s="11"/>
      <c r="C133" s="11"/>
      <c r="D133" s="11"/>
      <c r="E133" s="11"/>
      <c r="F133" s="11"/>
      <c r="G133" s="11"/>
      <c r="H133" s="11"/>
      <c r="I133" s="11"/>
      <c r="J133" s="11"/>
      <c r="K133" s="12"/>
      <c r="L133" s="11"/>
      <c r="M133" s="13"/>
      <c r="N133" s="13"/>
      <c r="O133" s="13"/>
      <c r="P133" s="13"/>
      <c r="Q133" s="2"/>
    </row>
    <row r="134" spans="1:17" x14ac:dyDescent="0.35">
      <c r="A134" s="10"/>
      <c r="B134" s="11"/>
      <c r="C134" s="11"/>
      <c r="D134" s="11"/>
      <c r="E134" s="11"/>
      <c r="F134" s="11"/>
      <c r="G134" s="11"/>
      <c r="H134" s="11"/>
      <c r="I134" s="11"/>
      <c r="J134" s="11"/>
      <c r="K134" s="12"/>
      <c r="L134" s="11"/>
      <c r="M134" s="13"/>
      <c r="N134" s="13"/>
      <c r="O134" s="13"/>
      <c r="P134" s="13"/>
      <c r="Q134" s="2"/>
    </row>
    <row r="135" spans="1:17" x14ac:dyDescent="0.35">
      <c r="A135" s="10"/>
      <c r="B135" s="11"/>
      <c r="C135" s="11"/>
      <c r="D135" s="11"/>
      <c r="E135" s="11"/>
      <c r="F135" s="11"/>
      <c r="G135" s="11"/>
      <c r="H135" s="11"/>
      <c r="I135" s="11"/>
      <c r="J135" s="11"/>
      <c r="K135" s="12"/>
      <c r="L135" s="11"/>
      <c r="M135" s="13"/>
      <c r="N135" s="13"/>
      <c r="O135" s="13"/>
      <c r="P135" s="13"/>
      <c r="Q135" s="2"/>
    </row>
    <row r="136" spans="1:17" x14ac:dyDescent="0.35">
      <c r="A136" s="10"/>
      <c r="B136" s="11"/>
      <c r="C136" s="11"/>
      <c r="D136" s="11"/>
      <c r="E136" s="11"/>
      <c r="F136" s="11"/>
      <c r="G136" s="11"/>
      <c r="H136" s="11"/>
      <c r="I136" s="11"/>
      <c r="J136" s="11"/>
      <c r="K136" s="12"/>
      <c r="L136" s="11"/>
      <c r="M136" s="13"/>
      <c r="N136" s="13"/>
      <c r="O136" s="13"/>
      <c r="P136" s="13"/>
      <c r="Q136" s="2"/>
    </row>
    <row r="137" spans="1:17" x14ac:dyDescent="0.3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</row>
    <row r="138" spans="1:17" x14ac:dyDescent="0.35">
      <c r="B138" s="21" t="s">
        <v>138</v>
      </c>
    </row>
    <row r="139" spans="1:17" x14ac:dyDescent="0.35">
      <c r="B139" s="22"/>
    </row>
    <row r="140" spans="1:17" x14ac:dyDescent="0.35">
      <c r="A140" s="5" t="s">
        <v>0</v>
      </c>
      <c r="B140" s="5" t="s">
        <v>1</v>
      </c>
      <c r="C140" s="5" t="s">
        <v>2</v>
      </c>
      <c r="D140" s="5" t="s">
        <v>3</v>
      </c>
      <c r="E140" s="5" t="s">
        <v>4</v>
      </c>
      <c r="F140" s="5" t="s">
        <v>5</v>
      </c>
      <c r="G140" s="5" t="s">
        <v>6</v>
      </c>
      <c r="H140" s="5" t="s">
        <v>7</v>
      </c>
      <c r="I140" s="5" t="s">
        <v>8</v>
      </c>
      <c r="J140" s="5" t="s">
        <v>9</v>
      </c>
      <c r="K140" s="5" t="s">
        <v>10</v>
      </c>
      <c r="L140" s="5" t="s">
        <v>133</v>
      </c>
      <c r="M140" s="5" t="s">
        <v>12</v>
      </c>
      <c r="N140" s="5" t="s">
        <v>13</v>
      </c>
      <c r="O140" s="5" t="s">
        <v>14</v>
      </c>
      <c r="P140" s="5" t="s">
        <v>15</v>
      </c>
      <c r="Q140" s="5" t="s">
        <v>16</v>
      </c>
    </row>
    <row r="141" spans="1:17" x14ac:dyDescent="0.35">
      <c r="A141" s="10" cm="1">
        <f t="array" ref="A141:Q142">_xlfn._xlws.SORT(_xlfn._xlws.FILTER($A$2:$Q$68,(((TRIM($Q$2:$Q$68)="Open")+(TRIM($Q$2:$Q$68)="6W2H")+(TRIM($Q$2:$Q$68)="BCC")+(TRIM($Q$2:$Q$68)="5W"))*($A$2:$A$68=11))),1,TRUE)</f>
        <v>11</v>
      </c>
      <c r="B141" s="11" t="str">
        <v>No realiza empalme</v>
      </c>
      <c r="C141" s="11" t="str">
        <v>Milton G.</v>
      </c>
      <c r="D141" s="11" t="str">
        <v>Edgar B.</v>
      </c>
      <c r="E141" s="11" t="str">
        <v>Saul I.</v>
      </c>
      <c r="F141" s="11" t="str">
        <v>Oscar P.</v>
      </c>
      <c r="G141" s="11" t="str">
        <v>Edith S.</v>
      </c>
      <c r="H141" s="11" t="str">
        <v>Julio F.</v>
      </c>
      <c r="I141" s="11" t="str">
        <v>Mayra H.</v>
      </c>
      <c r="J141" s="11">
        <v>0</v>
      </c>
      <c r="K141" s="12">
        <v>46065</v>
      </c>
      <c r="L141" s="11" t="str">
        <v>HUB</v>
      </c>
      <c r="M141" s="13" t="str">
        <v xml:space="preserve"> X </v>
      </c>
      <c r="N141" s="13" t="str">
        <v xml:space="preserve"> X </v>
      </c>
      <c r="O141" s="13" t="str">
        <v/>
      </c>
      <c r="P141" s="13" t="str">
        <v/>
      </c>
      <c r="Q141" s="2" t="str">
        <v>BCC</v>
      </c>
    </row>
    <row r="142" spans="1:17" x14ac:dyDescent="0.35">
      <c r="A142" s="10">
        <v>11</v>
      </c>
      <c r="B142" s="11" t="str">
        <v>Desperdicio elevado por Cápsula faltante</v>
      </c>
      <c r="C142" s="11" t="str">
        <v>Edith</v>
      </c>
      <c r="D142" s="11" t="str">
        <v>Omar O.</v>
      </c>
      <c r="E142" s="11">
        <v>0</v>
      </c>
      <c r="F142" s="11">
        <v>0</v>
      </c>
      <c r="G142" s="11">
        <v>0</v>
      </c>
      <c r="H142" s="11">
        <v>0</v>
      </c>
      <c r="I142" s="11">
        <v>0</v>
      </c>
      <c r="J142" s="11">
        <v>0</v>
      </c>
      <c r="K142" s="12">
        <v>46078</v>
      </c>
      <c r="L142" s="11" t="str">
        <v>HUB</v>
      </c>
      <c r="M142" s="13" t="str">
        <v xml:space="preserve"> X </v>
      </c>
      <c r="N142" s="13" t="str">
        <v xml:space="preserve"> X </v>
      </c>
      <c r="O142" s="13" t="str">
        <v/>
      </c>
      <c r="P142" s="13" t="str">
        <v/>
      </c>
      <c r="Q142" s="2" t="str">
        <v>BCC</v>
      </c>
    </row>
    <row r="143" spans="1:17" x14ac:dyDescent="0.35">
      <c r="A143" s="10"/>
      <c r="B143" s="11"/>
      <c r="C143" s="11"/>
      <c r="D143" s="11"/>
      <c r="E143" s="11"/>
      <c r="F143" s="11"/>
      <c r="G143" s="11"/>
      <c r="H143" s="11"/>
      <c r="I143" s="11"/>
      <c r="J143" s="11"/>
      <c r="K143" s="12"/>
      <c r="L143" s="11"/>
      <c r="M143" s="13"/>
      <c r="N143" s="13"/>
      <c r="O143" s="13"/>
      <c r="P143" s="13"/>
      <c r="Q143" s="2"/>
    </row>
    <row r="144" spans="1:17" x14ac:dyDescent="0.35">
      <c r="A144" s="10"/>
      <c r="B144" s="11"/>
      <c r="C144" s="11"/>
      <c r="D144" s="11"/>
      <c r="E144" s="11"/>
      <c r="F144" s="11"/>
      <c r="G144" s="11"/>
      <c r="H144" s="11"/>
      <c r="I144" s="11"/>
      <c r="J144" s="11"/>
      <c r="K144" s="12"/>
      <c r="L144" s="11"/>
      <c r="M144" s="13"/>
      <c r="N144" s="13"/>
      <c r="O144" s="13"/>
      <c r="P144" s="13"/>
      <c r="Q144" s="2"/>
    </row>
    <row r="145" spans="1:17" x14ac:dyDescent="0.35">
      <c r="A145" s="10"/>
      <c r="B145" s="11"/>
      <c r="C145" s="11"/>
      <c r="D145" s="11"/>
      <c r="E145" s="11"/>
      <c r="F145" s="11"/>
      <c r="G145" s="11"/>
      <c r="H145" s="11"/>
      <c r="I145" s="11"/>
      <c r="J145" s="11"/>
      <c r="K145" s="12"/>
      <c r="L145" s="11"/>
      <c r="M145" s="13"/>
      <c r="N145" s="13"/>
      <c r="O145" s="13"/>
      <c r="P145" s="13"/>
      <c r="Q145" s="2"/>
    </row>
    <row r="146" spans="1:17" x14ac:dyDescent="0.3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</row>
    <row r="199" spans="9:9" x14ac:dyDescent="0.35">
      <c r="I199" s="3"/>
    </row>
    <row r="200" spans="9:9" x14ac:dyDescent="0.35">
      <c r="I200" s="3"/>
    </row>
    <row r="201" spans="9:9" x14ac:dyDescent="0.35">
      <c r="I201" s="3"/>
    </row>
    <row r="202" spans="9:9" x14ac:dyDescent="0.35">
      <c r="I202" s="3"/>
    </row>
    <row r="203" spans="9:9" x14ac:dyDescent="0.35">
      <c r="I203" s="3"/>
    </row>
    <row r="204" spans="9:9" x14ac:dyDescent="0.35">
      <c r="I204" s="3"/>
    </row>
    <row r="205" spans="9:9" x14ac:dyDescent="0.35">
      <c r="I205" s="3"/>
    </row>
    <row r="206" spans="9:9" x14ac:dyDescent="0.35">
      <c r="I206" s="3"/>
    </row>
    <row r="207" spans="9:9" x14ac:dyDescent="0.35">
      <c r="I207" s="3"/>
    </row>
    <row r="208" spans="9:9" x14ac:dyDescent="0.35">
      <c r="I208" s="3"/>
    </row>
    <row r="209" spans="9:9" x14ac:dyDescent="0.35">
      <c r="I209" s="3"/>
    </row>
    <row r="210" spans="9:9" x14ac:dyDescent="0.35">
      <c r="I210" s="3"/>
    </row>
    <row r="211" spans="9:9" x14ac:dyDescent="0.35">
      <c r="I211" s="3"/>
    </row>
    <row r="212" spans="9:9" x14ac:dyDescent="0.35">
      <c r="I212" s="3"/>
    </row>
    <row r="213" spans="9:9" x14ac:dyDescent="0.35">
      <c r="I213" s="3"/>
    </row>
    <row r="214" spans="9:9" x14ac:dyDescent="0.35">
      <c r="I214" s="3"/>
    </row>
    <row r="215" spans="9:9" x14ac:dyDescent="0.35">
      <c r="I215" s="3"/>
    </row>
    <row r="216" spans="9:9" x14ac:dyDescent="0.35">
      <c r="I216" s="3"/>
    </row>
    <row r="217" spans="9:9" x14ac:dyDescent="0.35">
      <c r="I217" s="3"/>
    </row>
    <row r="218" spans="9:9" x14ac:dyDescent="0.35">
      <c r="I218" s="3"/>
    </row>
    <row r="219" spans="9:9" x14ac:dyDescent="0.35">
      <c r="I219" s="3"/>
    </row>
    <row r="220" spans="9:9" x14ac:dyDescent="0.35">
      <c r="I220" s="3"/>
    </row>
    <row r="221" spans="9:9" x14ac:dyDescent="0.35">
      <c r="I221" s="3"/>
    </row>
    <row r="222" spans="9:9" x14ac:dyDescent="0.35">
      <c r="I222" s="3"/>
    </row>
    <row r="223" spans="9:9" x14ac:dyDescent="0.35">
      <c r="I223" s="3"/>
    </row>
    <row r="224" spans="9:9" x14ac:dyDescent="0.35">
      <c r="I224" s="3"/>
    </row>
    <row r="225" spans="9:9" x14ac:dyDescent="0.35">
      <c r="I225" s="3"/>
    </row>
    <row r="226" spans="9:9" x14ac:dyDescent="0.35">
      <c r="I226" s="3"/>
    </row>
    <row r="227" spans="9:9" x14ac:dyDescent="0.35">
      <c r="I227" s="3"/>
    </row>
    <row r="228" spans="9:9" x14ac:dyDescent="0.35">
      <c r="I228" s="3"/>
    </row>
    <row r="229" spans="9:9" x14ac:dyDescent="0.35">
      <c r="I229" s="3"/>
    </row>
    <row r="230" spans="9:9" x14ac:dyDescent="0.35">
      <c r="I230" s="3"/>
    </row>
    <row r="231" spans="9:9" x14ac:dyDescent="0.35">
      <c r="I231" s="3"/>
    </row>
    <row r="232" spans="9:9" x14ac:dyDescent="0.35">
      <c r="I232" s="3"/>
    </row>
    <row r="233" spans="9:9" x14ac:dyDescent="0.35">
      <c r="I233" s="3"/>
    </row>
    <row r="234" spans="9:9" x14ac:dyDescent="0.35">
      <c r="I234" s="3"/>
    </row>
    <row r="235" spans="9:9" x14ac:dyDescent="0.35">
      <c r="I235" s="3"/>
    </row>
    <row r="236" spans="9:9" x14ac:dyDescent="0.35">
      <c r="I236" s="3"/>
    </row>
    <row r="237" spans="9:9" x14ac:dyDescent="0.35">
      <c r="I237" s="3"/>
    </row>
    <row r="238" spans="9:9" x14ac:dyDescent="0.35">
      <c r="I238" s="3"/>
    </row>
    <row r="239" spans="9:9" x14ac:dyDescent="0.35">
      <c r="I239" s="3"/>
    </row>
    <row r="240" spans="9:9" x14ac:dyDescent="0.35">
      <c r="I240" s="3"/>
    </row>
    <row r="241" spans="9:9" x14ac:dyDescent="0.35">
      <c r="I241" s="3"/>
    </row>
    <row r="242" spans="9:9" x14ac:dyDescent="0.35">
      <c r="I242" s="3"/>
    </row>
    <row r="243" spans="9:9" x14ac:dyDescent="0.35">
      <c r="I243" s="3"/>
    </row>
    <row r="244" spans="9:9" x14ac:dyDescent="0.35">
      <c r="I244" s="3"/>
    </row>
    <row r="245" spans="9:9" x14ac:dyDescent="0.35">
      <c r="I245" s="3"/>
    </row>
    <row r="246" spans="9:9" x14ac:dyDescent="0.35">
      <c r="I246" s="3"/>
    </row>
    <row r="247" spans="9:9" x14ac:dyDescent="0.35">
      <c r="I247" s="3"/>
    </row>
    <row r="248" spans="9:9" x14ac:dyDescent="0.35">
      <c r="I248" s="3"/>
    </row>
    <row r="249" spans="9:9" x14ac:dyDescent="0.35">
      <c r="I249" s="3"/>
    </row>
    <row r="250" spans="9:9" x14ac:dyDescent="0.35">
      <c r="I250" s="3"/>
    </row>
    <row r="251" spans="9:9" x14ac:dyDescent="0.35">
      <c r="I251" s="3"/>
    </row>
    <row r="252" spans="9:9" x14ac:dyDescent="0.35">
      <c r="I252" s="3"/>
    </row>
    <row r="253" spans="9:9" x14ac:dyDescent="0.35">
      <c r="I253" s="3"/>
    </row>
    <row r="254" spans="9:9" x14ac:dyDescent="0.35">
      <c r="I254" s="3"/>
    </row>
    <row r="255" spans="9:9" x14ac:dyDescent="0.35">
      <c r="I255" s="3"/>
    </row>
    <row r="256" spans="9:9" x14ac:dyDescent="0.35">
      <c r="I256" s="3"/>
    </row>
    <row r="257" spans="9:9" x14ac:dyDescent="0.35">
      <c r="I257" s="3"/>
    </row>
    <row r="258" spans="9:9" x14ac:dyDescent="0.35">
      <c r="I258" s="3"/>
    </row>
    <row r="259" spans="9:9" x14ac:dyDescent="0.35">
      <c r="I259" s="3"/>
    </row>
    <row r="260" spans="9:9" x14ac:dyDescent="0.35">
      <c r="I260" s="3"/>
    </row>
    <row r="261" spans="9:9" x14ac:dyDescent="0.35">
      <c r="I261" s="3"/>
    </row>
    <row r="262" spans="9:9" x14ac:dyDescent="0.35">
      <c r="I262" s="3"/>
    </row>
    <row r="263" spans="9:9" x14ac:dyDescent="0.35">
      <c r="I263" s="3"/>
    </row>
    <row r="264" spans="9:9" x14ac:dyDescent="0.35">
      <c r="I264" s="3"/>
    </row>
    <row r="265" spans="9:9" x14ac:dyDescent="0.35">
      <c r="I265" s="3"/>
    </row>
    <row r="266" spans="9:9" x14ac:dyDescent="0.35">
      <c r="I266" s="3"/>
    </row>
    <row r="267" spans="9:9" x14ac:dyDescent="0.35">
      <c r="I267" s="3"/>
    </row>
    <row r="268" spans="9:9" x14ac:dyDescent="0.35">
      <c r="I268" s="3"/>
    </row>
    <row r="269" spans="9:9" x14ac:dyDescent="0.35">
      <c r="I269" s="3"/>
    </row>
    <row r="270" spans="9:9" x14ac:dyDescent="0.35">
      <c r="I270" s="3"/>
    </row>
    <row r="271" spans="9:9" x14ac:dyDescent="0.35">
      <c r="I271" s="3"/>
    </row>
    <row r="272" spans="9:9" x14ac:dyDescent="0.35">
      <c r="I272" s="3"/>
    </row>
    <row r="273" spans="9:9" x14ac:dyDescent="0.35">
      <c r="I273" s="3"/>
    </row>
    <row r="274" spans="9:9" x14ac:dyDescent="0.35">
      <c r="I274" s="3"/>
    </row>
    <row r="275" spans="9:9" x14ac:dyDescent="0.35">
      <c r="I275" s="3"/>
    </row>
    <row r="276" spans="9:9" x14ac:dyDescent="0.35">
      <c r="I276" s="3"/>
    </row>
    <row r="277" spans="9:9" x14ac:dyDescent="0.35">
      <c r="I277" s="3"/>
    </row>
    <row r="278" spans="9:9" x14ac:dyDescent="0.35">
      <c r="I278" s="3"/>
    </row>
    <row r="279" spans="9:9" x14ac:dyDescent="0.35">
      <c r="I279" s="3"/>
    </row>
    <row r="280" spans="9:9" x14ac:dyDescent="0.35">
      <c r="I280" s="3"/>
    </row>
    <row r="281" spans="9:9" x14ac:dyDescent="0.35">
      <c r="I281" s="3"/>
    </row>
    <row r="282" spans="9:9" x14ac:dyDescent="0.35">
      <c r="I282" s="3"/>
    </row>
    <row r="283" spans="9:9" x14ac:dyDescent="0.35">
      <c r="I283" s="3"/>
    </row>
    <row r="284" spans="9:9" x14ac:dyDescent="0.35">
      <c r="I284" s="3"/>
    </row>
    <row r="285" spans="9:9" x14ac:dyDescent="0.35">
      <c r="I285" s="3"/>
    </row>
    <row r="286" spans="9:9" x14ac:dyDescent="0.35">
      <c r="I286" s="3"/>
    </row>
    <row r="287" spans="9:9" x14ac:dyDescent="0.35">
      <c r="I287" s="3"/>
    </row>
    <row r="288" spans="9:9" x14ac:dyDescent="0.35">
      <c r="I288" s="3"/>
    </row>
    <row r="289" spans="9:9" x14ac:dyDescent="0.35">
      <c r="I289" s="3"/>
    </row>
    <row r="290" spans="9:9" x14ac:dyDescent="0.35">
      <c r="I290" s="3"/>
    </row>
    <row r="291" spans="9:9" x14ac:dyDescent="0.35">
      <c r="I291" s="3"/>
    </row>
    <row r="292" spans="9:9" x14ac:dyDescent="0.35">
      <c r="I292" s="3"/>
    </row>
    <row r="293" spans="9:9" x14ac:dyDescent="0.35">
      <c r="I293" s="3"/>
    </row>
    <row r="294" spans="9:9" x14ac:dyDescent="0.35">
      <c r="I294" s="3"/>
    </row>
    <row r="295" spans="9:9" x14ac:dyDescent="0.35">
      <c r="I295" s="3"/>
    </row>
    <row r="296" spans="9:9" x14ac:dyDescent="0.35">
      <c r="I296" s="3"/>
    </row>
    <row r="297" spans="9:9" x14ac:dyDescent="0.35">
      <c r="I297" s="3"/>
    </row>
    <row r="298" spans="9:9" x14ac:dyDescent="0.35">
      <c r="I298" s="3"/>
    </row>
    <row r="299" spans="9:9" x14ac:dyDescent="0.35">
      <c r="I299" s="3"/>
    </row>
    <row r="300" spans="9:9" x14ac:dyDescent="0.35">
      <c r="I300" s="3"/>
    </row>
    <row r="301" spans="9:9" x14ac:dyDescent="0.35">
      <c r="I301" s="3"/>
    </row>
    <row r="302" spans="9:9" x14ac:dyDescent="0.35">
      <c r="I302" s="3"/>
    </row>
    <row r="303" spans="9:9" x14ac:dyDescent="0.35">
      <c r="I303" s="3"/>
    </row>
    <row r="304" spans="9:9" x14ac:dyDescent="0.35">
      <c r="I304" s="3"/>
    </row>
    <row r="305" spans="9:9" x14ac:dyDescent="0.35">
      <c r="I305" s="3"/>
    </row>
    <row r="306" spans="9:9" x14ac:dyDescent="0.35">
      <c r="I306" s="3"/>
    </row>
    <row r="307" spans="9:9" x14ac:dyDescent="0.35">
      <c r="I307" s="3"/>
    </row>
    <row r="308" spans="9:9" x14ac:dyDescent="0.35">
      <c r="I308" s="3"/>
    </row>
    <row r="309" spans="9:9" x14ac:dyDescent="0.35">
      <c r="I309" s="3"/>
    </row>
    <row r="310" spans="9:9" x14ac:dyDescent="0.35">
      <c r="I310" s="3"/>
    </row>
    <row r="311" spans="9:9" x14ac:dyDescent="0.35">
      <c r="I311" s="3"/>
    </row>
    <row r="312" spans="9:9" x14ac:dyDescent="0.35">
      <c r="I312" s="3"/>
    </row>
    <row r="313" spans="9:9" x14ac:dyDescent="0.35">
      <c r="I313" s="3"/>
    </row>
    <row r="314" spans="9:9" x14ac:dyDescent="0.35">
      <c r="I314" s="3"/>
    </row>
    <row r="315" spans="9:9" x14ac:dyDescent="0.35">
      <c r="I315" s="3"/>
    </row>
    <row r="316" spans="9:9" x14ac:dyDescent="0.35">
      <c r="I316" s="3"/>
    </row>
    <row r="317" spans="9:9" x14ac:dyDescent="0.35">
      <c r="I317" s="3"/>
    </row>
    <row r="318" spans="9:9" x14ac:dyDescent="0.35">
      <c r="I318" s="3"/>
    </row>
    <row r="319" spans="9:9" x14ac:dyDescent="0.35">
      <c r="I319" s="3"/>
    </row>
    <row r="320" spans="9:9" x14ac:dyDescent="0.35">
      <c r="I320" s="3"/>
    </row>
    <row r="321" spans="9:9" x14ac:dyDescent="0.35">
      <c r="I321" s="3"/>
    </row>
    <row r="322" spans="9:9" x14ac:dyDescent="0.35">
      <c r="I322" s="3"/>
    </row>
    <row r="323" spans="9:9" x14ac:dyDescent="0.35">
      <c r="I323" s="3"/>
    </row>
  </sheetData>
  <mergeCells count="6">
    <mergeCell ref="B99:B101"/>
    <mergeCell ref="B102:B103"/>
    <mergeCell ref="B111:B112"/>
    <mergeCell ref="B120:B121"/>
    <mergeCell ref="B129:B130"/>
    <mergeCell ref="B138:B139"/>
  </mergeCells>
  <conditionalFormatting sqref="A2:A133">
    <cfRule type="containsBlanks" dxfId="322" priority="1">
      <formula>LEN(TRIM(A2))=0</formula>
    </cfRule>
  </conditionalFormatting>
  <conditionalFormatting sqref="A2:A139">
    <cfRule type="cellIs" dxfId="321" priority="2" operator="equal">
      <formula>7</formula>
    </cfRule>
    <cfRule type="cellIs" dxfId="320" priority="3" operator="equal">
      <formula>9</formula>
    </cfRule>
    <cfRule type="cellIs" dxfId="319" priority="4" operator="equal">
      <formula>10</formula>
    </cfRule>
    <cfRule type="cellIs" dxfId="318" priority="5" operator="equal">
      <formula>17</formula>
    </cfRule>
    <cfRule type="cellIs" dxfId="317" priority="6" operator="equal">
      <formula>11</formula>
    </cfRule>
    <cfRule type="cellIs" dxfId="316" priority="7" operator="equal">
      <formula>8</formula>
    </cfRule>
  </conditionalFormatting>
  <conditionalFormatting sqref="A141:A149">
    <cfRule type="cellIs" dxfId="311" priority="31" operator="equal">
      <formula>7</formula>
    </cfRule>
    <cfRule type="cellIs" dxfId="312" priority="32" operator="equal">
      <formula>9</formula>
    </cfRule>
    <cfRule type="cellIs" dxfId="313" priority="33" operator="equal">
      <formula>10</formula>
    </cfRule>
    <cfRule type="cellIs" dxfId="314" priority="34" operator="equal">
      <formula>17</formula>
    </cfRule>
    <cfRule type="cellIs" dxfId="315" priority="35" operator="equal">
      <formula>11</formula>
    </cfRule>
    <cfRule type="cellIs" dxfId="310" priority="36" operator="equal">
      <formula>8</formula>
    </cfRule>
  </conditionalFormatting>
  <conditionalFormatting sqref="B102">
    <cfRule type="cellIs" dxfId="305" priority="71" operator="equal">
      <formula>7</formula>
    </cfRule>
    <cfRule type="cellIs" dxfId="306" priority="72" operator="equal">
      <formula>9</formula>
    </cfRule>
    <cfRule type="cellIs" dxfId="307" priority="73" operator="equal">
      <formula>10</formula>
    </cfRule>
    <cfRule type="cellIs" dxfId="308" priority="74" operator="equal">
      <formula>17</formula>
    </cfRule>
    <cfRule type="cellIs" dxfId="309" priority="75" operator="equal">
      <formula>11</formula>
    </cfRule>
    <cfRule type="cellIs" dxfId="304" priority="76" operator="equal">
      <formula>8</formula>
    </cfRule>
  </conditionalFormatting>
  <conditionalFormatting sqref="B111">
    <cfRule type="cellIs" dxfId="298" priority="65" operator="equal">
      <formula>7</formula>
    </cfRule>
    <cfRule type="cellIs" dxfId="299" priority="66" operator="equal">
      <formula>9</formula>
    </cfRule>
    <cfRule type="cellIs" dxfId="300" priority="67" operator="equal">
      <formula>10</formula>
    </cfRule>
    <cfRule type="cellIs" dxfId="301" priority="68" operator="equal">
      <formula>17</formula>
    </cfRule>
    <cfRule type="cellIs" dxfId="302" priority="69" operator="equal">
      <formula>11</formula>
    </cfRule>
    <cfRule type="cellIs" dxfId="303" priority="70" operator="equal">
      <formula>8</formula>
    </cfRule>
  </conditionalFormatting>
  <conditionalFormatting sqref="B120">
    <cfRule type="cellIs" dxfId="294" priority="59" operator="equal">
      <formula>7</formula>
    </cfRule>
    <cfRule type="cellIs" dxfId="295" priority="60" operator="equal">
      <formula>9</formula>
    </cfRule>
    <cfRule type="cellIs" dxfId="296" priority="61" operator="equal">
      <formula>10</formula>
    </cfRule>
    <cfRule type="cellIs" dxfId="297" priority="62" operator="equal">
      <formula>17</formula>
    </cfRule>
    <cfRule type="cellIs" dxfId="292" priority="63" operator="equal">
      <formula>11</formula>
    </cfRule>
    <cfRule type="cellIs" dxfId="293" priority="64" operator="equal">
      <formula>8</formula>
    </cfRule>
  </conditionalFormatting>
  <conditionalFormatting sqref="B129">
    <cfRule type="cellIs" dxfId="287" priority="53" operator="equal">
      <formula>7</formula>
    </cfRule>
    <cfRule type="cellIs" dxfId="288" priority="54" operator="equal">
      <formula>9</formula>
    </cfRule>
    <cfRule type="cellIs" dxfId="289" priority="55" operator="equal">
      <formula>10</formula>
    </cfRule>
    <cfRule type="cellIs" dxfId="290" priority="56" operator="equal">
      <formula>17</formula>
    </cfRule>
    <cfRule type="cellIs" dxfId="286" priority="57" operator="equal">
      <formula>11</formula>
    </cfRule>
    <cfRule type="cellIs" dxfId="291" priority="58" operator="equal">
      <formula>8</formula>
    </cfRule>
  </conditionalFormatting>
  <conditionalFormatting sqref="B138">
    <cfRule type="cellIs" dxfId="285" priority="47" operator="equal">
      <formula>7</formula>
    </cfRule>
    <cfRule type="cellIs" dxfId="281" priority="48" operator="equal">
      <formula>9</formula>
    </cfRule>
    <cfRule type="cellIs" dxfId="282" priority="49" operator="equal">
      <formula>10</formula>
    </cfRule>
    <cfRule type="cellIs" dxfId="283" priority="50" operator="equal">
      <formula>17</formula>
    </cfRule>
    <cfRule type="cellIs" dxfId="284" priority="51" operator="equal">
      <formula>11</formula>
    </cfRule>
    <cfRule type="cellIs" dxfId="280" priority="52" operator="equal">
      <formula>8</formula>
    </cfRule>
  </conditionalFormatting>
  <conditionalFormatting sqref="K2:K133">
    <cfRule type="containsBlanks" dxfId="276" priority="8">
      <formula>LEN(TRIM(K2))=0</formula>
    </cfRule>
    <cfRule type="expression" dxfId="277" priority="9">
      <formula>TODAY() - K2 &lt;= 7</formula>
    </cfRule>
    <cfRule type="expression" dxfId="278" priority="10">
      <formula>TODAY() - K2 &lt;= 15</formula>
    </cfRule>
    <cfRule type="expression" dxfId="279" priority="11">
      <formula>AND(TODAY() - K2 &lt;= 30, TODAY() - K2+K2 &gt; 15)</formula>
    </cfRule>
  </conditionalFormatting>
  <conditionalFormatting sqref="K2:K139">
    <cfRule type="expression" dxfId="275" priority="12">
      <formula>TODAY() - K2 &gt; 30</formula>
    </cfRule>
  </conditionalFormatting>
  <conditionalFormatting sqref="K105:K112 K114:K121 K123:K130 I199:I323">
    <cfRule type="containsBlanks" dxfId="274" priority="87">
      <formula>LEN(TRIM(I105))=0</formula>
    </cfRule>
  </conditionalFormatting>
  <conditionalFormatting sqref="K132:K139">
    <cfRule type="containsBlanks" dxfId="270" priority="13">
      <formula>LEN(TRIM(K132))=0</formula>
    </cfRule>
    <cfRule type="expression" dxfId="271" priority="14">
      <formula>TODAY() - K132 &lt;= 8</formula>
    </cfRule>
    <cfRule type="expression" dxfId="272" priority="15">
      <formula>TODAY() - K132 &lt;= 15</formula>
    </cfRule>
    <cfRule type="expression" dxfId="273" priority="16">
      <formula>AND(TODAY() - K132 &lt;= 30, TODAY() - K132+K132 &gt; 15)</formula>
    </cfRule>
  </conditionalFormatting>
  <conditionalFormatting sqref="K141:K149">
    <cfRule type="containsBlanks" dxfId="265" priority="26">
      <formula>LEN(TRIM(K141))=0</formula>
    </cfRule>
    <cfRule type="expression" dxfId="266" priority="27">
      <formula>TODAY() - K141 &lt;= 8</formula>
    </cfRule>
    <cfRule type="expression" dxfId="267" priority="28">
      <formula>TODAY() - K141 &lt;= 15</formula>
    </cfRule>
    <cfRule type="expression" dxfId="269" priority="29">
      <formula>AND(TODAY() - K141 &lt;= 30, TODAY() - K141+K141 &gt; 15)</formula>
    </cfRule>
    <cfRule type="expression" dxfId="268" priority="30">
      <formula>TODAY() - K141 &gt; 30</formula>
    </cfRule>
  </conditionalFormatting>
  <conditionalFormatting sqref="M2:P2 M3:Q63">
    <cfRule type="containsText" dxfId="264" priority="25" operator="containsText" text="Merged">
      <formula>NOT(ISERROR(SEARCH("Merged",M2)))</formula>
    </cfRule>
    <cfRule type="containsText" dxfId="263" priority="88" operator="containsText" text="Cancelled">
      <formula>NOT(ISERROR(SEARCH("Cancelled",M2)))</formula>
    </cfRule>
  </conditionalFormatting>
  <conditionalFormatting sqref="M2:Q133">
    <cfRule type="containsText" dxfId="259" priority="17" operator="containsText" text=" X ">
      <formula>NOT(ISERROR(SEARCH(" X ",M2)))</formula>
    </cfRule>
    <cfRule type="containsText" dxfId="255" priority="18" operator="containsText" text="Open">
      <formula>NOT(ISERROR(SEARCH("Open",M2)))</formula>
    </cfRule>
    <cfRule type="containsText" dxfId="256" priority="19" operator="containsText" text="6W2H">
      <formula>NOT(ISERROR(SEARCH("6W2H",M2)))</formula>
    </cfRule>
    <cfRule type="containsText" dxfId="257" priority="20" operator="containsText" text="BCC">
      <formula>NOT(ISERROR(SEARCH("BCC",M2)))</formula>
    </cfRule>
    <cfRule type="containsText" dxfId="258" priority="21" operator="containsText" text="5W">
      <formula>NOT(ISERROR(SEARCH("5W",M2)))</formula>
    </cfRule>
    <cfRule type="containsText" dxfId="260" priority="22" operator="containsText" text="Resume">
      <formula>NOT(ISERROR(SEARCH("Resume",M2)))</formula>
    </cfRule>
    <cfRule type="containsText" dxfId="261" priority="23" operator="containsText" text="Closing">
      <formula>NOT(ISERROR(SEARCH("Closing",M2)))</formula>
    </cfRule>
    <cfRule type="containsText" dxfId="262" priority="24" operator="containsText" text="Closed">
      <formula>NOT(ISERROR(SEARCH("Closed",M2)))</formula>
    </cfRule>
    <cfRule type="containsText" dxfId="254" priority="89" operator="containsText" text="Missing">
      <formula>NOT(ISERROR(SEARCH("Missing",M2)))</formula>
    </cfRule>
    <cfRule type="containsText" dxfId="253" priority="90" operator="containsText" text="Ascended">
      <formula>NOT(ISERROR(SEARCH("Ascended",M2)))</formula>
    </cfRule>
  </conditionalFormatting>
  <conditionalFormatting sqref="M141:Q149">
    <cfRule type="containsText" dxfId="244" priority="37" operator="containsText" text="Closed">
      <formula>NOT(ISERROR(SEARCH("Closed",M141)))</formula>
    </cfRule>
    <cfRule type="containsText" dxfId="245" priority="38" operator="containsText" text="Resume">
      <formula>NOT(ISERROR(SEARCH("Resume",M141)))</formula>
    </cfRule>
    <cfRule type="containsText" dxfId="246" priority="39" operator="containsText" text="Closing">
      <formula>NOT(ISERROR(SEARCH("Closing",M141)))</formula>
    </cfRule>
    <cfRule type="containsText" dxfId="243" priority="40" operator="containsText" text="Missing">
      <formula>NOT(ISERROR(SEARCH("Missing",M141)))</formula>
    </cfRule>
    <cfRule type="containsText" dxfId="248" priority="41" operator="containsText" text="Open">
      <formula>NOT(ISERROR(SEARCH("Open",M141)))</formula>
    </cfRule>
    <cfRule type="containsText" dxfId="249" priority="42" operator="containsText" text="6W2H">
      <formula>NOT(ISERROR(SEARCH("6W2H",M141)))</formula>
    </cfRule>
    <cfRule type="containsText" dxfId="250" priority="43" operator="containsText" text="BCC">
      <formula>NOT(ISERROR(SEARCH("BCC",M141)))</formula>
    </cfRule>
    <cfRule type="containsText" dxfId="251" priority="44" operator="containsText" text="5W">
      <formula>NOT(ISERROR(SEARCH("5W",M141)))</formula>
    </cfRule>
    <cfRule type="containsText" dxfId="242" priority="45" operator="containsText" text="Resumen">
      <formula>NOT(ISERROR(SEARCH("Resumen",M141)))</formula>
    </cfRule>
    <cfRule type="containsText" dxfId="247" priority="46" operator="containsText" text=" X ">
      <formula>NOT(ISERROR(SEARCH(" X ",M141)))</formula>
    </cfRule>
  </conditionalFormatting>
  <conditionalFormatting sqref="R1:S1">
    <cfRule type="containsText" dxfId="241" priority="77" operator="containsText" text="Closed">
      <formula>NOT(ISERROR(SEARCH("Closed",R1)))</formula>
    </cfRule>
    <cfRule type="containsText" dxfId="235" priority="78" operator="containsText" text="Resume">
      <formula>NOT(ISERROR(SEARCH("Resume",R1)))</formula>
    </cfRule>
    <cfRule type="containsText" dxfId="234" priority="79" operator="containsText" text="Closing">
      <formula>NOT(ISERROR(SEARCH("Closing",R1)))</formula>
    </cfRule>
    <cfRule type="containsText" dxfId="233" priority="80" operator="containsText" text="Missing">
      <formula>NOT(ISERROR(SEARCH("Missing",R1)))</formula>
    </cfRule>
    <cfRule type="containsText" dxfId="232" priority="81" operator="containsText" text="Open">
      <formula>NOT(ISERROR(SEARCH("Open",R1)))</formula>
    </cfRule>
    <cfRule type="containsText" dxfId="236" priority="82" operator="containsText" text="6W2H">
      <formula>NOT(ISERROR(SEARCH("6W2H",R1)))</formula>
    </cfRule>
    <cfRule type="containsText" dxfId="240" priority="83" operator="containsText" text="BCC">
      <formula>NOT(ISERROR(SEARCH("BCC",R1)))</formula>
    </cfRule>
    <cfRule type="containsText" dxfId="239" priority="84" operator="containsText" text="5W">
      <formula>NOT(ISERROR(SEARCH("5W",R1)))</formula>
    </cfRule>
    <cfRule type="containsText" dxfId="238" priority="85" operator="containsText" text="Resumen">
      <formula>NOT(ISERROR(SEARCH("Resumen",R1)))</formula>
    </cfRule>
    <cfRule type="containsText" dxfId="237" priority="86" operator="containsText" text=" X ">
      <formula>NOT(ISERROR(SEARCH(" X ",R1)))</formula>
    </cfRule>
  </conditionalFormatting>
  <pageMargins left="0.7" right="0.7" top="0.75" bottom="0.75" header="0.3" footer="0.3"/>
  <headerFooter>
    <oddFooter>&amp;C_x000D_&amp;1#&amp;"Aptos"&amp;8&amp;K000000 Public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1" operator="containsText" id="{2EC4695E-189A-4251-ABC9-051F80511DB3}">
            <xm:f>NOT(ISERROR(SEARCH("-",M2)))</xm:f>
            <xm:f>"-"</xm:f>
            <x14:dxf>
              <fill>
                <patternFill>
                  <bgColor theme="2"/>
                </patternFill>
              </fill>
            </x14:dxf>
          </x14:cfRule>
          <xm:sqref>M2:Q133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85642-9082-49C8-9A19-DE57C2FE6BE5}">
  <dimension ref="A1:U218"/>
  <sheetViews>
    <sheetView tabSelected="1" workbookViewId="0">
      <selection activeCell="B5" sqref="B5"/>
    </sheetView>
  </sheetViews>
  <sheetFormatPr baseColWidth="10" defaultRowHeight="14.5" x14ac:dyDescent="0.35"/>
  <cols>
    <col min="1" max="1" width="6.26953125" customWidth="1"/>
    <col min="2" max="2" width="38.26953125" customWidth="1"/>
    <col min="3" max="10" width="4.81640625" customWidth="1"/>
    <col min="11" max="11" width="10.7265625" customWidth="1"/>
    <col min="12" max="12" width="10.81640625" customWidth="1"/>
    <col min="13" max="13" width="74.81640625" customWidth="1"/>
    <col min="14" max="14" width="8.1796875" customWidth="1"/>
    <col min="15" max="15" width="9.54296875" customWidth="1"/>
    <col min="16" max="16" width="10.1796875" customWidth="1"/>
    <col min="17" max="19" width="6.54296875" customWidth="1"/>
    <col min="20" max="20" width="8.7265625"/>
    <col min="21" max="21" width="10.54296875" customWidth="1"/>
  </cols>
  <sheetData>
    <row r="1" spans="1:21" x14ac:dyDescent="0.3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4" t="s">
        <v>139</v>
      </c>
      <c r="N1" s="25" t="s">
        <v>140</v>
      </c>
      <c r="O1" s="25" t="s">
        <v>141</v>
      </c>
      <c r="P1" s="25" t="s">
        <v>142</v>
      </c>
      <c r="R1" t="s">
        <v>143</v>
      </c>
      <c r="S1" t="s">
        <v>46</v>
      </c>
      <c r="T1" t="s">
        <v>144</v>
      </c>
      <c r="U1" s="26" t="s">
        <v>145</v>
      </c>
    </row>
    <row r="2" spans="1:21" x14ac:dyDescent="0.35">
      <c r="A2" s="10"/>
      <c r="K2" s="27"/>
      <c r="L2" s="28"/>
      <c r="R2">
        <f>COUNTIF(O2:O188, "Done")</f>
        <v>26</v>
      </c>
      <c r="S2">
        <f>COUNTIF(O2:O188, "Cancelled")</f>
        <v>7</v>
      </c>
      <c r="T2">
        <f>COUNTIF(O2:O188, "On going")</f>
        <v>2</v>
      </c>
      <c r="U2">
        <f>COUNTIF(O2:O188, "Pending")</f>
        <v>64</v>
      </c>
    </row>
    <row r="3" spans="1:21" x14ac:dyDescent="0.35">
      <c r="A3">
        <v>9</v>
      </c>
      <c r="B3" t="s">
        <v>146</v>
      </c>
      <c r="C3" t="s">
        <v>147</v>
      </c>
      <c r="K3" s="3">
        <v>45910</v>
      </c>
      <c r="L3" s="28"/>
      <c r="M3" t="s">
        <v>148</v>
      </c>
      <c r="N3" t="s">
        <v>149</v>
      </c>
      <c r="O3" t="s">
        <v>145</v>
      </c>
    </row>
    <row r="4" spans="1:21" x14ac:dyDescent="0.35">
      <c r="A4">
        <v>9</v>
      </c>
      <c r="B4" t="s">
        <v>146</v>
      </c>
      <c r="C4" t="s">
        <v>147</v>
      </c>
      <c r="K4" s="3">
        <v>45910</v>
      </c>
      <c r="L4" s="28"/>
      <c r="M4" t="s">
        <v>150</v>
      </c>
      <c r="N4" t="s">
        <v>149</v>
      </c>
      <c r="O4" t="s">
        <v>145</v>
      </c>
    </row>
    <row r="5" spans="1:21" x14ac:dyDescent="0.35">
      <c r="K5" s="3"/>
      <c r="L5" s="28"/>
    </row>
    <row r="6" spans="1:21" x14ac:dyDescent="0.35">
      <c r="A6">
        <v>7</v>
      </c>
      <c r="B6" t="s">
        <v>19</v>
      </c>
      <c r="K6" s="3">
        <v>46083</v>
      </c>
      <c r="L6" s="28"/>
      <c r="M6" t="s">
        <v>151</v>
      </c>
      <c r="N6" t="s">
        <v>152</v>
      </c>
      <c r="O6" t="s">
        <v>145</v>
      </c>
    </row>
    <row r="7" spans="1:21" x14ac:dyDescent="0.35">
      <c r="A7">
        <v>7</v>
      </c>
      <c r="B7" t="s">
        <v>19</v>
      </c>
      <c r="K7" s="3">
        <v>46083</v>
      </c>
      <c r="L7" s="28"/>
      <c r="M7" t="s">
        <v>153</v>
      </c>
      <c r="N7" t="s">
        <v>152</v>
      </c>
      <c r="O7" t="s">
        <v>145</v>
      </c>
    </row>
    <row r="8" spans="1:21" x14ac:dyDescent="0.35">
      <c r="A8">
        <v>7</v>
      </c>
      <c r="B8" t="s">
        <v>19</v>
      </c>
      <c r="K8" s="3">
        <v>46083</v>
      </c>
      <c r="L8" s="28"/>
      <c r="M8" t="s">
        <v>154</v>
      </c>
      <c r="N8" t="s">
        <v>152</v>
      </c>
      <c r="O8" t="s">
        <v>145</v>
      </c>
    </row>
    <row r="9" spans="1:21" x14ac:dyDescent="0.35">
      <c r="K9" s="3"/>
      <c r="L9" s="28"/>
    </row>
    <row r="10" spans="1:21" x14ac:dyDescent="0.35">
      <c r="A10">
        <v>7</v>
      </c>
      <c r="B10" t="s">
        <v>30</v>
      </c>
      <c r="C10" t="s">
        <v>31</v>
      </c>
      <c r="D10" t="s">
        <v>27</v>
      </c>
      <c r="E10" t="s">
        <v>32</v>
      </c>
      <c r="K10" s="3">
        <v>46104</v>
      </c>
      <c r="L10" s="28"/>
      <c r="M10" t="s">
        <v>155</v>
      </c>
      <c r="N10" t="s">
        <v>152</v>
      </c>
      <c r="O10" t="s">
        <v>145</v>
      </c>
    </row>
    <row r="11" spans="1:21" x14ac:dyDescent="0.35">
      <c r="A11">
        <v>7</v>
      </c>
      <c r="B11" t="s">
        <v>30</v>
      </c>
      <c r="C11" t="s">
        <v>31</v>
      </c>
      <c r="D11" t="s">
        <v>27</v>
      </c>
      <c r="E11" t="s">
        <v>32</v>
      </c>
      <c r="K11" s="3">
        <v>46104</v>
      </c>
      <c r="L11" s="28"/>
      <c r="M11" t="s">
        <v>156</v>
      </c>
      <c r="N11" t="s">
        <v>152</v>
      </c>
      <c r="O11" t="s">
        <v>46</v>
      </c>
    </row>
    <row r="12" spans="1:21" x14ac:dyDescent="0.35">
      <c r="K12" s="3"/>
      <c r="L12" s="28"/>
    </row>
    <row r="13" spans="1:21" x14ac:dyDescent="0.35">
      <c r="A13">
        <v>9</v>
      </c>
      <c r="B13" t="s">
        <v>34</v>
      </c>
      <c r="C13" t="s">
        <v>26</v>
      </c>
      <c r="D13" t="s">
        <v>35</v>
      </c>
      <c r="E13" t="s">
        <v>36</v>
      </c>
      <c r="F13" t="s">
        <v>37</v>
      </c>
      <c r="G13" t="s">
        <v>38</v>
      </c>
      <c r="K13" s="3">
        <v>46106</v>
      </c>
      <c r="L13" s="28"/>
      <c r="M13" t="s">
        <v>157</v>
      </c>
      <c r="N13" t="s">
        <v>158</v>
      </c>
      <c r="O13" t="s">
        <v>145</v>
      </c>
      <c r="P13" s="29"/>
    </row>
    <row r="14" spans="1:21" x14ac:dyDescent="0.35">
      <c r="K14" s="3"/>
      <c r="L14" s="28"/>
    </row>
    <row r="15" spans="1:21" x14ac:dyDescent="0.35">
      <c r="A15">
        <v>9</v>
      </c>
      <c r="B15" t="s">
        <v>28</v>
      </c>
      <c r="C15" t="s">
        <v>23</v>
      </c>
      <c r="D15" t="s">
        <v>26</v>
      </c>
      <c r="K15" s="3">
        <v>46085</v>
      </c>
      <c r="L15" s="28"/>
      <c r="M15" t="s">
        <v>159</v>
      </c>
      <c r="N15" t="s">
        <v>149</v>
      </c>
      <c r="O15" t="s">
        <v>145</v>
      </c>
      <c r="P15" s="29"/>
    </row>
    <row r="16" spans="1:21" x14ac:dyDescent="0.35">
      <c r="K16" s="3"/>
      <c r="L16" s="28"/>
      <c r="P16" s="29"/>
    </row>
    <row r="17" spans="1:16" x14ac:dyDescent="0.35">
      <c r="A17">
        <v>7</v>
      </c>
      <c r="B17" t="s">
        <v>33</v>
      </c>
      <c r="C17" t="s">
        <v>26</v>
      </c>
      <c r="K17" s="3"/>
      <c r="L17" s="28"/>
      <c r="M17" t="s">
        <v>160</v>
      </c>
      <c r="N17" t="s">
        <v>149</v>
      </c>
      <c r="O17" t="s">
        <v>143</v>
      </c>
      <c r="P17" s="29"/>
    </row>
    <row r="18" spans="1:16" x14ac:dyDescent="0.35">
      <c r="A18">
        <v>7</v>
      </c>
      <c r="B18" t="s">
        <v>33</v>
      </c>
      <c r="C18" t="s">
        <v>26</v>
      </c>
      <c r="K18" s="3"/>
      <c r="L18" s="28"/>
      <c r="M18" t="s">
        <v>161</v>
      </c>
      <c r="N18" t="s">
        <v>162</v>
      </c>
      <c r="O18" t="s">
        <v>145</v>
      </c>
      <c r="P18" s="29"/>
    </row>
    <row r="19" spans="1:16" x14ac:dyDescent="0.35">
      <c r="A19">
        <v>7</v>
      </c>
      <c r="B19" t="s">
        <v>33</v>
      </c>
      <c r="C19" t="s">
        <v>26</v>
      </c>
      <c r="K19" s="3"/>
      <c r="L19" s="28"/>
      <c r="M19" t="s">
        <v>163</v>
      </c>
      <c r="N19" t="s">
        <v>149</v>
      </c>
      <c r="O19" t="s">
        <v>145</v>
      </c>
      <c r="P19" s="29"/>
    </row>
    <row r="20" spans="1:16" x14ac:dyDescent="0.35">
      <c r="A20">
        <v>7</v>
      </c>
      <c r="B20" t="s">
        <v>33</v>
      </c>
      <c r="C20" t="s">
        <v>26</v>
      </c>
      <c r="K20" s="3"/>
      <c r="L20" s="28"/>
      <c r="M20" t="s">
        <v>164</v>
      </c>
      <c r="N20" t="s">
        <v>149</v>
      </c>
      <c r="O20" t="s">
        <v>145</v>
      </c>
      <c r="P20" s="29"/>
    </row>
    <row r="21" spans="1:16" x14ac:dyDescent="0.35">
      <c r="A21">
        <v>7</v>
      </c>
      <c r="B21" t="s">
        <v>33</v>
      </c>
      <c r="C21" t="s">
        <v>26</v>
      </c>
      <c r="K21" s="3"/>
      <c r="L21" s="28"/>
      <c r="M21" t="s">
        <v>165</v>
      </c>
      <c r="N21" t="s">
        <v>166</v>
      </c>
      <c r="O21" t="s">
        <v>145</v>
      </c>
      <c r="P21" s="29"/>
    </row>
    <row r="22" spans="1:16" x14ac:dyDescent="0.35">
      <c r="A22">
        <v>7</v>
      </c>
      <c r="B22" t="s">
        <v>33</v>
      </c>
      <c r="C22" t="s">
        <v>26</v>
      </c>
      <c r="K22" s="3"/>
      <c r="L22" s="28"/>
      <c r="M22" t="s">
        <v>167</v>
      </c>
      <c r="N22" t="s">
        <v>158</v>
      </c>
      <c r="O22" t="s">
        <v>145</v>
      </c>
      <c r="P22" s="29"/>
    </row>
    <row r="23" spans="1:16" x14ac:dyDescent="0.35">
      <c r="K23" s="3"/>
      <c r="L23" s="28"/>
    </row>
    <row r="24" spans="1:16" x14ac:dyDescent="0.35">
      <c r="A24" s="23" t="s">
        <v>0</v>
      </c>
      <c r="B24" s="23" t="s">
        <v>1</v>
      </c>
      <c r="C24" s="23" t="s">
        <v>2</v>
      </c>
      <c r="D24" s="23" t="s">
        <v>3</v>
      </c>
      <c r="E24" s="23" t="s">
        <v>4</v>
      </c>
      <c r="F24" s="23" t="s">
        <v>5</v>
      </c>
      <c r="G24" s="23" t="s">
        <v>6</v>
      </c>
      <c r="H24" s="23" t="s">
        <v>7</v>
      </c>
      <c r="I24" s="23" t="s">
        <v>8</v>
      </c>
      <c r="J24" s="23" t="s">
        <v>9</v>
      </c>
      <c r="K24" s="23" t="s">
        <v>10</v>
      </c>
      <c r="L24" s="23" t="s">
        <v>11</v>
      </c>
      <c r="M24" s="30" t="s">
        <v>139</v>
      </c>
      <c r="N24" s="25" t="s">
        <v>140</v>
      </c>
      <c r="O24" s="25" t="s">
        <v>141</v>
      </c>
      <c r="P24" s="31" t="s">
        <v>142</v>
      </c>
    </row>
    <row r="25" spans="1:16" x14ac:dyDescent="0.35">
      <c r="A25">
        <v>10</v>
      </c>
      <c r="B25" t="s">
        <v>57</v>
      </c>
      <c r="C25" t="s">
        <v>27</v>
      </c>
      <c r="K25" s="3">
        <v>46084</v>
      </c>
      <c r="L25" s="28"/>
      <c r="M25" t="s">
        <v>168</v>
      </c>
      <c r="N25" t="s">
        <v>169</v>
      </c>
      <c r="O25" t="s">
        <v>46</v>
      </c>
    </row>
    <row r="26" spans="1:16" x14ac:dyDescent="0.35">
      <c r="A26">
        <v>10</v>
      </c>
      <c r="B26" t="s">
        <v>57</v>
      </c>
      <c r="C26" t="s">
        <v>27</v>
      </c>
      <c r="K26" s="3">
        <v>46084</v>
      </c>
      <c r="L26" s="28"/>
      <c r="M26" t="s">
        <v>170</v>
      </c>
      <c r="N26" t="s">
        <v>149</v>
      </c>
      <c r="O26" t="s">
        <v>143</v>
      </c>
    </row>
    <row r="27" spans="1:16" x14ac:dyDescent="0.35">
      <c r="K27" s="3"/>
      <c r="L27" s="28"/>
    </row>
    <row r="28" spans="1:16" x14ac:dyDescent="0.35">
      <c r="A28">
        <v>10</v>
      </c>
      <c r="B28" t="s">
        <v>61</v>
      </c>
      <c r="C28" t="s">
        <v>53</v>
      </c>
      <c r="D28" t="s">
        <v>62</v>
      </c>
      <c r="K28" s="3">
        <v>46087</v>
      </c>
      <c r="L28" s="28"/>
      <c r="M28" t="s">
        <v>171</v>
      </c>
      <c r="N28" t="s">
        <v>149</v>
      </c>
      <c r="O28" t="s">
        <v>145</v>
      </c>
      <c r="P28" s="29"/>
    </row>
    <row r="29" spans="1:16" x14ac:dyDescent="0.35">
      <c r="K29" s="3"/>
      <c r="L29" s="28"/>
    </row>
    <row r="30" spans="1:16" x14ac:dyDescent="0.35">
      <c r="A30">
        <v>10</v>
      </c>
      <c r="B30" t="s">
        <v>67</v>
      </c>
      <c r="C30" t="s">
        <v>53</v>
      </c>
      <c r="D30" t="s">
        <v>66</v>
      </c>
      <c r="E30" t="s">
        <v>36</v>
      </c>
      <c r="K30" s="3">
        <v>46098</v>
      </c>
      <c r="L30" s="28"/>
      <c r="M30" t="s">
        <v>172</v>
      </c>
      <c r="N30" t="s">
        <v>162</v>
      </c>
      <c r="O30" t="s">
        <v>145</v>
      </c>
      <c r="P30" s="29"/>
    </row>
    <row r="31" spans="1:16" x14ac:dyDescent="0.35">
      <c r="A31">
        <v>10</v>
      </c>
      <c r="B31" t="s">
        <v>67</v>
      </c>
      <c r="C31" t="s">
        <v>53</v>
      </c>
      <c r="D31" t="s">
        <v>66</v>
      </c>
      <c r="E31" t="s">
        <v>36</v>
      </c>
      <c r="K31" s="3">
        <v>46098</v>
      </c>
      <c r="L31" s="28"/>
      <c r="M31" t="s">
        <v>173</v>
      </c>
      <c r="N31" t="s">
        <v>149</v>
      </c>
      <c r="O31" t="s">
        <v>145</v>
      </c>
      <c r="P31" s="29"/>
    </row>
    <row r="32" spans="1:16" x14ac:dyDescent="0.35">
      <c r="A32">
        <v>10</v>
      </c>
      <c r="B32" t="s">
        <v>174</v>
      </c>
      <c r="C32" t="s">
        <v>175</v>
      </c>
      <c r="D32" t="s">
        <v>27</v>
      </c>
      <c r="E32" t="s">
        <v>176</v>
      </c>
      <c r="F32" t="s">
        <v>62</v>
      </c>
      <c r="K32" s="3">
        <v>45952</v>
      </c>
      <c r="L32" s="28"/>
      <c r="M32" t="s">
        <v>177</v>
      </c>
      <c r="N32" t="s">
        <v>149</v>
      </c>
      <c r="O32" t="s">
        <v>145</v>
      </c>
    </row>
    <row r="33" spans="1:16" x14ac:dyDescent="0.35">
      <c r="K33" s="3"/>
      <c r="L33" s="28"/>
    </row>
    <row r="34" spans="1:16" x14ac:dyDescent="0.35">
      <c r="A34">
        <v>10</v>
      </c>
      <c r="B34" t="s">
        <v>56</v>
      </c>
      <c r="C34" t="s">
        <v>55</v>
      </c>
      <c r="D34" t="s">
        <v>38</v>
      </c>
      <c r="E34" t="s">
        <v>37</v>
      </c>
      <c r="K34" s="3">
        <v>46072</v>
      </c>
      <c r="L34" s="28"/>
    </row>
    <row r="35" spans="1:16" x14ac:dyDescent="0.35">
      <c r="K35" s="3"/>
      <c r="L35" s="28"/>
    </row>
    <row r="36" spans="1:16" x14ac:dyDescent="0.35">
      <c r="A36" s="23" t="s">
        <v>0</v>
      </c>
      <c r="B36" s="23" t="s">
        <v>1</v>
      </c>
      <c r="C36" s="23" t="s">
        <v>2</v>
      </c>
      <c r="D36" s="23" t="s">
        <v>3</v>
      </c>
      <c r="E36" s="23" t="s">
        <v>4</v>
      </c>
      <c r="F36" s="23" t="s">
        <v>5</v>
      </c>
      <c r="G36" s="23" t="s">
        <v>6</v>
      </c>
      <c r="H36" s="23" t="s">
        <v>7</v>
      </c>
      <c r="I36" s="23" t="s">
        <v>8</v>
      </c>
      <c r="J36" s="23" t="s">
        <v>9</v>
      </c>
      <c r="K36" s="23" t="s">
        <v>10</v>
      </c>
      <c r="L36" s="23" t="s">
        <v>11</v>
      </c>
      <c r="M36" s="30" t="s">
        <v>139</v>
      </c>
      <c r="N36" s="25" t="s">
        <v>140</v>
      </c>
      <c r="O36" s="25" t="s">
        <v>141</v>
      </c>
      <c r="P36" s="31" t="s">
        <v>142</v>
      </c>
    </row>
    <row r="37" spans="1:16" x14ac:dyDescent="0.35">
      <c r="A37">
        <v>8</v>
      </c>
      <c r="B37" s="11" t="s">
        <v>178</v>
      </c>
      <c r="K37" s="32">
        <v>45927</v>
      </c>
      <c r="L37" s="28"/>
      <c r="M37" t="s">
        <v>179</v>
      </c>
      <c r="N37" t="s">
        <v>149</v>
      </c>
      <c r="O37" t="s">
        <v>46</v>
      </c>
    </row>
    <row r="38" spans="1:16" x14ac:dyDescent="0.35">
      <c r="A38">
        <v>8</v>
      </c>
      <c r="B38" s="11" t="s">
        <v>178</v>
      </c>
      <c r="K38" s="32">
        <v>45927</v>
      </c>
      <c r="L38" s="28"/>
      <c r="M38" t="s">
        <v>180</v>
      </c>
      <c r="N38" t="s">
        <v>149</v>
      </c>
      <c r="O38" t="s">
        <v>145</v>
      </c>
    </row>
    <row r="39" spans="1:16" x14ac:dyDescent="0.35">
      <c r="A39">
        <v>8</v>
      </c>
      <c r="B39" s="11" t="s">
        <v>178</v>
      </c>
      <c r="K39" s="32">
        <v>45927</v>
      </c>
      <c r="L39" s="28"/>
      <c r="M39" t="s">
        <v>181</v>
      </c>
      <c r="N39" t="s">
        <v>182</v>
      </c>
      <c r="O39" t="s">
        <v>145</v>
      </c>
    </row>
    <row r="40" spans="1:16" x14ac:dyDescent="0.35">
      <c r="K40" s="27"/>
      <c r="L40" s="28"/>
    </row>
    <row r="41" spans="1:16" x14ac:dyDescent="0.35">
      <c r="A41">
        <v>8</v>
      </c>
      <c r="B41" t="s">
        <v>183</v>
      </c>
      <c r="C41" t="s">
        <v>184</v>
      </c>
      <c r="D41" t="s">
        <v>90</v>
      </c>
      <c r="K41" s="3">
        <v>45964</v>
      </c>
      <c r="L41" s="28"/>
      <c r="M41" t="s">
        <v>185</v>
      </c>
      <c r="N41" t="s">
        <v>162</v>
      </c>
      <c r="O41" t="s">
        <v>143</v>
      </c>
    </row>
    <row r="42" spans="1:16" x14ac:dyDescent="0.35">
      <c r="A42">
        <v>8</v>
      </c>
      <c r="B42" t="s">
        <v>183</v>
      </c>
      <c r="C42" t="s">
        <v>184</v>
      </c>
      <c r="D42" t="s">
        <v>90</v>
      </c>
      <c r="K42" s="3">
        <v>45964</v>
      </c>
      <c r="L42" s="28"/>
      <c r="M42" t="s">
        <v>186</v>
      </c>
      <c r="N42" t="s">
        <v>149</v>
      </c>
      <c r="O42" t="s">
        <v>143</v>
      </c>
    </row>
    <row r="43" spans="1:16" x14ac:dyDescent="0.35">
      <c r="A43">
        <v>8</v>
      </c>
      <c r="B43" t="s">
        <v>183</v>
      </c>
      <c r="C43" t="s">
        <v>184</v>
      </c>
      <c r="D43" t="s">
        <v>90</v>
      </c>
      <c r="K43" s="3">
        <v>45964</v>
      </c>
      <c r="L43" s="28"/>
      <c r="M43" t="s">
        <v>187</v>
      </c>
      <c r="N43" t="s">
        <v>37</v>
      </c>
      <c r="O43" t="s">
        <v>145</v>
      </c>
    </row>
    <row r="44" spans="1:16" x14ac:dyDescent="0.35">
      <c r="A44">
        <v>8</v>
      </c>
      <c r="B44" t="s">
        <v>183</v>
      </c>
      <c r="C44" t="s">
        <v>184</v>
      </c>
      <c r="D44" t="s">
        <v>90</v>
      </c>
      <c r="K44" s="3">
        <v>45964</v>
      </c>
      <c r="L44" s="28"/>
      <c r="M44" t="s">
        <v>188</v>
      </c>
      <c r="N44" t="s">
        <v>162</v>
      </c>
      <c r="O44" t="s">
        <v>145</v>
      </c>
    </row>
    <row r="45" spans="1:16" x14ac:dyDescent="0.35">
      <c r="K45" s="3"/>
      <c r="L45" s="28"/>
    </row>
    <row r="46" spans="1:16" x14ac:dyDescent="0.35">
      <c r="A46">
        <v>8</v>
      </c>
      <c r="B46" t="s">
        <v>97</v>
      </c>
      <c r="C46" t="s">
        <v>98</v>
      </c>
      <c r="K46" s="3">
        <v>46000</v>
      </c>
      <c r="L46" s="28"/>
      <c r="M46" t="s">
        <v>189</v>
      </c>
      <c r="N46" t="s">
        <v>162</v>
      </c>
      <c r="O46" t="s">
        <v>143</v>
      </c>
    </row>
    <row r="47" spans="1:16" x14ac:dyDescent="0.35">
      <c r="A47">
        <v>8</v>
      </c>
      <c r="B47" t="s">
        <v>97</v>
      </c>
      <c r="C47" t="s">
        <v>98</v>
      </c>
      <c r="K47" s="3">
        <v>46000</v>
      </c>
      <c r="L47" s="28"/>
      <c r="M47" t="s">
        <v>190</v>
      </c>
      <c r="N47" t="s">
        <v>149</v>
      </c>
      <c r="O47" t="s">
        <v>143</v>
      </c>
    </row>
    <row r="48" spans="1:16" x14ac:dyDescent="0.35">
      <c r="A48">
        <v>8</v>
      </c>
      <c r="B48" t="s">
        <v>97</v>
      </c>
      <c r="C48" t="s">
        <v>98</v>
      </c>
      <c r="K48" s="3">
        <v>46000</v>
      </c>
      <c r="L48" s="28"/>
      <c r="M48" t="s">
        <v>191</v>
      </c>
      <c r="N48" t="s">
        <v>149</v>
      </c>
      <c r="O48" t="s">
        <v>145</v>
      </c>
    </row>
    <row r="49" spans="1:16" x14ac:dyDescent="0.35">
      <c r="A49">
        <v>8</v>
      </c>
      <c r="B49" t="s">
        <v>97</v>
      </c>
      <c r="C49" t="s">
        <v>98</v>
      </c>
      <c r="K49" s="3">
        <v>46000</v>
      </c>
      <c r="L49" s="28"/>
      <c r="M49" t="s">
        <v>192</v>
      </c>
      <c r="N49" t="s">
        <v>149</v>
      </c>
      <c r="O49" t="s">
        <v>145</v>
      </c>
    </row>
    <row r="50" spans="1:16" x14ac:dyDescent="0.35">
      <c r="A50">
        <v>8</v>
      </c>
      <c r="B50" t="s">
        <v>97</v>
      </c>
      <c r="C50" t="s">
        <v>98</v>
      </c>
      <c r="K50" s="3">
        <v>46000</v>
      </c>
      <c r="L50" s="28"/>
      <c r="M50" t="s">
        <v>193</v>
      </c>
      <c r="N50" t="s">
        <v>149</v>
      </c>
      <c r="O50" t="s">
        <v>145</v>
      </c>
    </row>
    <row r="51" spans="1:16" x14ac:dyDescent="0.35">
      <c r="A51">
        <v>8</v>
      </c>
      <c r="B51" t="s">
        <v>97</v>
      </c>
      <c r="C51" t="s">
        <v>98</v>
      </c>
      <c r="K51" s="3">
        <v>46000</v>
      </c>
      <c r="L51" s="28"/>
      <c r="M51" t="s">
        <v>194</v>
      </c>
      <c r="N51" t="s">
        <v>162</v>
      </c>
      <c r="O51" t="s">
        <v>145</v>
      </c>
    </row>
    <row r="52" spans="1:16" x14ac:dyDescent="0.35">
      <c r="A52">
        <v>8</v>
      </c>
      <c r="B52" t="s">
        <v>97</v>
      </c>
      <c r="C52" t="s">
        <v>98</v>
      </c>
      <c r="K52" s="3">
        <v>46000</v>
      </c>
      <c r="L52" s="28"/>
      <c r="M52" t="s">
        <v>195</v>
      </c>
      <c r="N52" t="s">
        <v>162</v>
      </c>
      <c r="O52" t="s">
        <v>145</v>
      </c>
    </row>
    <row r="53" spans="1:16" x14ac:dyDescent="0.35">
      <c r="A53" s="10"/>
      <c r="K53" s="28"/>
      <c r="L53" s="28"/>
    </row>
    <row r="54" spans="1:16" x14ac:dyDescent="0.35">
      <c r="A54">
        <v>8</v>
      </c>
      <c r="B54" t="s">
        <v>99</v>
      </c>
      <c r="C54" t="s">
        <v>94</v>
      </c>
      <c r="D54" t="s">
        <v>36</v>
      </c>
      <c r="E54" t="s">
        <v>100</v>
      </c>
      <c r="K54" s="3">
        <v>46044</v>
      </c>
      <c r="L54" s="28"/>
      <c r="M54" t="s">
        <v>196</v>
      </c>
      <c r="N54" t="s">
        <v>158</v>
      </c>
      <c r="O54" t="s">
        <v>143</v>
      </c>
      <c r="P54" s="29"/>
    </row>
    <row r="55" spans="1:16" x14ac:dyDescent="0.35">
      <c r="A55">
        <v>8</v>
      </c>
      <c r="B55" t="s">
        <v>99</v>
      </c>
      <c r="C55" t="s">
        <v>94</v>
      </c>
      <c r="D55" t="s">
        <v>36</v>
      </c>
      <c r="E55" t="s">
        <v>100</v>
      </c>
      <c r="K55" s="3">
        <v>46044</v>
      </c>
      <c r="L55" s="28"/>
      <c r="M55" t="s">
        <v>197</v>
      </c>
      <c r="N55" t="s">
        <v>77</v>
      </c>
      <c r="O55" t="s">
        <v>145</v>
      </c>
    </row>
    <row r="56" spans="1:16" x14ac:dyDescent="0.35">
      <c r="A56">
        <v>8</v>
      </c>
      <c r="B56" t="s">
        <v>99</v>
      </c>
      <c r="C56" t="s">
        <v>94</v>
      </c>
      <c r="D56" t="s">
        <v>36</v>
      </c>
      <c r="E56" t="s">
        <v>100</v>
      </c>
      <c r="K56" s="3">
        <v>46044</v>
      </c>
      <c r="L56" s="28"/>
      <c r="M56" t="s">
        <v>198</v>
      </c>
      <c r="N56" t="s">
        <v>40</v>
      </c>
      <c r="O56" t="s">
        <v>143</v>
      </c>
      <c r="P56" s="29"/>
    </row>
    <row r="57" spans="1:16" x14ac:dyDescent="0.35">
      <c r="A57">
        <v>8</v>
      </c>
      <c r="B57" t="s">
        <v>99</v>
      </c>
      <c r="C57" t="s">
        <v>94</v>
      </c>
      <c r="D57" t="s">
        <v>36</v>
      </c>
      <c r="E57" t="s">
        <v>100</v>
      </c>
      <c r="K57" s="3">
        <v>46044</v>
      </c>
      <c r="L57" s="28"/>
      <c r="M57" t="s">
        <v>199</v>
      </c>
      <c r="N57" t="s">
        <v>149</v>
      </c>
      <c r="O57" t="s">
        <v>143</v>
      </c>
      <c r="P57" s="29"/>
    </row>
    <row r="58" spans="1:16" x14ac:dyDescent="0.35">
      <c r="A58">
        <v>8</v>
      </c>
      <c r="B58" t="s">
        <v>99</v>
      </c>
      <c r="C58" t="s">
        <v>94</v>
      </c>
      <c r="D58" t="s">
        <v>36</v>
      </c>
      <c r="E58" t="s">
        <v>100</v>
      </c>
      <c r="K58" s="3">
        <v>46044</v>
      </c>
      <c r="L58" s="28"/>
      <c r="M58" t="s">
        <v>200</v>
      </c>
      <c r="N58" t="s">
        <v>149</v>
      </c>
      <c r="O58" t="s">
        <v>143</v>
      </c>
    </row>
    <row r="59" spans="1:16" x14ac:dyDescent="0.35">
      <c r="A59">
        <v>8</v>
      </c>
      <c r="B59" t="s">
        <v>99</v>
      </c>
      <c r="C59" t="s">
        <v>94</v>
      </c>
      <c r="D59" t="s">
        <v>36</v>
      </c>
      <c r="E59" t="s">
        <v>100</v>
      </c>
      <c r="K59" s="3">
        <v>46044</v>
      </c>
      <c r="L59" s="28"/>
      <c r="M59" t="s">
        <v>201</v>
      </c>
      <c r="N59" t="s">
        <v>149</v>
      </c>
      <c r="O59" t="s">
        <v>145</v>
      </c>
    </row>
    <row r="60" spans="1:16" x14ac:dyDescent="0.35">
      <c r="A60">
        <v>8</v>
      </c>
      <c r="B60" t="s">
        <v>99</v>
      </c>
      <c r="C60" t="s">
        <v>94</v>
      </c>
      <c r="D60" t="s">
        <v>36</v>
      </c>
      <c r="E60" t="s">
        <v>100</v>
      </c>
      <c r="K60" s="3">
        <v>46044</v>
      </c>
      <c r="L60" s="28"/>
      <c r="M60" t="s">
        <v>202</v>
      </c>
      <c r="N60" t="s">
        <v>166</v>
      </c>
      <c r="O60" t="s">
        <v>145</v>
      </c>
    </row>
    <row r="61" spans="1:16" x14ac:dyDescent="0.35">
      <c r="K61" s="3"/>
      <c r="L61" s="28"/>
    </row>
    <row r="62" spans="1:16" x14ac:dyDescent="0.35">
      <c r="A62">
        <v>8</v>
      </c>
      <c r="B62" t="s">
        <v>107</v>
      </c>
      <c r="C62" t="s">
        <v>62</v>
      </c>
      <c r="D62" t="s">
        <v>108</v>
      </c>
      <c r="E62" t="s">
        <v>27</v>
      </c>
      <c r="K62" s="3">
        <v>46069</v>
      </c>
      <c r="L62" s="28"/>
      <c r="M62" t="s">
        <v>203</v>
      </c>
      <c r="N62" t="s">
        <v>162</v>
      </c>
      <c r="O62" t="s">
        <v>145</v>
      </c>
    </row>
    <row r="63" spans="1:16" x14ac:dyDescent="0.35">
      <c r="A63">
        <v>8</v>
      </c>
      <c r="B63" t="s">
        <v>107</v>
      </c>
      <c r="C63" t="s">
        <v>62</v>
      </c>
      <c r="D63" t="s">
        <v>108</v>
      </c>
      <c r="E63" t="s">
        <v>27</v>
      </c>
      <c r="K63" s="3">
        <v>46069</v>
      </c>
      <c r="L63" s="28"/>
      <c r="M63" t="s">
        <v>204</v>
      </c>
      <c r="N63" t="s">
        <v>162</v>
      </c>
      <c r="O63" t="s">
        <v>143</v>
      </c>
    </row>
    <row r="64" spans="1:16" x14ac:dyDescent="0.35">
      <c r="A64">
        <v>8</v>
      </c>
      <c r="B64" t="s">
        <v>107</v>
      </c>
      <c r="C64" t="s">
        <v>62</v>
      </c>
      <c r="D64" t="s">
        <v>108</v>
      </c>
      <c r="E64" t="s">
        <v>27</v>
      </c>
      <c r="K64" s="3">
        <v>46069</v>
      </c>
      <c r="L64" s="28"/>
      <c r="M64" t="s">
        <v>205</v>
      </c>
      <c r="N64" t="s">
        <v>162</v>
      </c>
      <c r="O64" t="s">
        <v>145</v>
      </c>
    </row>
    <row r="65" spans="1:16" x14ac:dyDescent="0.35">
      <c r="K65" s="3"/>
      <c r="L65" s="28"/>
    </row>
    <row r="66" spans="1:16" x14ac:dyDescent="0.35">
      <c r="A66">
        <v>8</v>
      </c>
      <c r="B66" t="s">
        <v>105</v>
      </c>
      <c r="C66" t="s">
        <v>41</v>
      </c>
      <c r="D66" t="s">
        <v>40</v>
      </c>
      <c r="E66" t="s">
        <v>104</v>
      </c>
      <c r="F66" t="s">
        <v>42</v>
      </c>
      <c r="G66" t="s">
        <v>90</v>
      </c>
      <c r="H66" t="s">
        <v>37</v>
      </c>
      <c r="K66" s="3">
        <v>46064</v>
      </c>
      <c r="L66" s="28"/>
      <c r="M66" t="s">
        <v>206</v>
      </c>
      <c r="N66" t="s">
        <v>149</v>
      </c>
      <c r="O66" t="s">
        <v>143</v>
      </c>
    </row>
    <row r="67" spans="1:16" x14ac:dyDescent="0.35">
      <c r="A67">
        <v>8</v>
      </c>
      <c r="B67" t="s">
        <v>105</v>
      </c>
      <c r="C67" t="s">
        <v>41</v>
      </c>
      <c r="D67" t="s">
        <v>40</v>
      </c>
      <c r="E67" t="s">
        <v>104</v>
      </c>
      <c r="F67" t="s">
        <v>42</v>
      </c>
      <c r="G67" t="s">
        <v>90</v>
      </c>
      <c r="H67" t="s">
        <v>37</v>
      </c>
      <c r="K67" s="3">
        <v>46064</v>
      </c>
      <c r="L67" s="28"/>
      <c r="M67" t="s">
        <v>207</v>
      </c>
      <c r="N67" t="s">
        <v>149</v>
      </c>
      <c r="O67" t="s">
        <v>46</v>
      </c>
    </row>
    <row r="68" spans="1:16" x14ac:dyDescent="0.35">
      <c r="A68">
        <v>8</v>
      </c>
      <c r="B68" t="s">
        <v>105</v>
      </c>
      <c r="C68" t="s">
        <v>41</v>
      </c>
      <c r="D68" t="s">
        <v>40</v>
      </c>
      <c r="E68" t="s">
        <v>104</v>
      </c>
      <c r="F68" t="s">
        <v>42</v>
      </c>
      <c r="G68" t="s">
        <v>90</v>
      </c>
      <c r="H68" t="s">
        <v>37</v>
      </c>
      <c r="K68" s="3">
        <v>46064</v>
      </c>
      <c r="L68" s="28"/>
      <c r="M68" t="s">
        <v>208</v>
      </c>
      <c r="N68" t="s">
        <v>149</v>
      </c>
      <c r="O68" t="s">
        <v>145</v>
      </c>
    </row>
    <row r="69" spans="1:16" x14ac:dyDescent="0.35">
      <c r="A69">
        <v>8</v>
      </c>
      <c r="B69" t="s">
        <v>105</v>
      </c>
      <c r="C69" t="s">
        <v>41</v>
      </c>
      <c r="D69" t="s">
        <v>40</v>
      </c>
      <c r="E69" t="s">
        <v>104</v>
      </c>
      <c r="F69" t="s">
        <v>42</v>
      </c>
      <c r="G69" t="s">
        <v>90</v>
      </c>
      <c r="H69" t="s">
        <v>37</v>
      </c>
      <c r="K69" s="3">
        <v>46064</v>
      </c>
      <c r="L69" s="28"/>
      <c r="M69" t="s">
        <v>209</v>
      </c>
      <c r="N69" t="s">
        <v>162</v>
      </c>
      <c r="O69" t="s">
        <v>145</v>
      </c>
    </row>
    <row r="70" spans="1:16" x14ac:dyDescent="0.35">
      <c r="K70" s="3"/>
      <c r="L70" s="28"/>
    </row>
    <row r="71" spans="1:16" x14ac:dyDescent="0.35">
      <c r="A71">
        <v>8</v>
      </c>
      <c r="B71" t="s">
        <v>110</v>
      </c>
      <c r="C71" t="s">
        <v>108</v>
      </c>
      <c r="D71" t="s">
        <v>27</v>
      </c>
      <c r="E71" t="s">
        <v>32</v>
      </c>
      <c r="K71" s="3">
        <v>46086</v>
      </c>
      <c r="L71" s="28"/>
      <c r="M71" t="s">
        <v>210</v>
      </c>
      <c r="N71" t="s">
        <v>162</v>
      </c>
      <c r="O71" t="s">
        <v>145</v>
      </c>
    </row>
    <row r="72" spans="1:16" x14ac:dyDescent="0.35">
      <c r="A72">
        <v>8</v>
      </c>
      <c r="B72" t="s">
        <v>110</v>
      </c>
      <c r="C72" t="s">
        <v>108</v>
      </c>
      <c r="D72" t="s">
        <v>27</v>
      </c>
      <c r="E72" t="s">
        <v>32</v>
      </c>
      <c r="K72" s="3">
        <v>46086</v>
      </c>
      <c r="L72" s="28"/>
      <c r="M72" t="s">
        <v>211</v>
      </c>
      <c r="N72" t="s">
        <v>152</v>
      </c>
      <c r="O72" t="s">
        <v>145</v>
      </c>
    </row>
    <row r="73" spans="1:16" x14ac:dyDescent="0.35">
      <c r="K73" s="3"/>
      <c r="L73" s="28"/>
    </row>
    <row r="74" spans="1:16" x14ac:dyDescent="0.35">
      <c r="A74">
        <v>8</v>
      </c>
      <c r="B74" t="s">
        <v>115</v>
      </c>
      <c r="C74" t="s">
        <v>94</v>
      </c>
      <c r="D74" t="s">
        <v>36</v>
      </c>
      <c r="E74" t="s">
        <v>85</v>
      </c>
      <c r="K74" s="3">
        <v>46106</v>
      </c>
      <c r="M74" t="s">
        <v>212</v>
      </c>
      <c r="N74" t="s">
        <v>36</v>
      </c>
      <c r="O74" t="s">
        <v>145</v>
      </c>
    </row>
    <row r="75" spans="1:16" x14ac:dyDescent="0.35">
      <c r="A75">
        <v>8</v>
      </c>
      <c r="B75" t="s">
        <v>115</v>
      </c>
      <c r="C75" t="s">
        <v>94</v>
      </c>
      <c r="D75" t="s">
        <v>36</v>
      </c>
      <c r="E75" t="s">
        <v>85</v>
      </c>
      <c r="K75" s="3">
        <v>46106</v>
      </c>
      <c r="M75" t="s">
        <v>213</v>
      </c>
      <c r="N75" t="s">
        <v>158</v>
      </c>
      <c r="O75" t="s">
        <v>145</v>
      </c>
    </row>
    <row r="76" spans="1:16" x14ac:dyDescent="0.35">
      <c r="K76" s="3"/>
    </row>
    <row r="77" spans="1:16" x14ac:dyDescent="0.35">
      <c r="A77">
        <v>8</v>
      </c>
      <c r="B77" t="s">
        <v>116</v>
      </c>
      <c r="C77" t="s">
        <v>94</v>
      </c>
      <c r="K77" s="3">
        <v>46113</v>
      </c>
      <c r="L77" s="28"/>
      <c r="M77" t="s">
        <v>214</v>
      </c>
      <c r="N77" t="s">
        <v>94</v>
      </c>
      <c r="O77" t="s">
        <v>145</v>
      </c>
      <c r="P77" s="29"/>
    </row>
    <row r="78" spans="1:16" x14ac:dyDescent="0.35">
      <c r="K78" s="3"/>
      <c r="L78" s="28"/>
    </row>
    <row r="79" spans="1:16" x14ac:dyDescent="0.35">
      <c r="A79">
        <v>8</v>
      </c>
      <c r="B79" t="s">
        <v>111</v>
      </c>
      <c r="C79" t="s">
        <v>90</v>
      </c>
      <c r="D79" t="s">
        <v>37</v>
      </c>
      <c r="E79" t="s">
        <v>42</v>
      </c>
      <c r="K79" s="3">
        <v>46086</v>
      </c>
      <c r="L79" s="28"/>
      <c r="M79" t="s">
        <v>215</v>
      </c>
      <c r="N79" t="s">
        <v>162</v>
      </c>
      <c r="O79" t="s">
        <v>143</v>
      </c>
    </row>
    <row r="80" spans="1:16" x14ac:dyDescent="0.35">
      <c r="K80" s="3"/>
      <c r="L80" s="28"/>
    </row>
    <row r="81" spans="1:16" x14ac:dyDescent="0.35">
      <c r="A81" s="23" t="s">
        <v>0</v>
      </c>
      <c r="B81" s="23" t="s">
        <v>1</v>
      </c>
      <c r="C81" s="23" t="s">
        <v>2</v>
      </c>
      <c r="D81" s="23" t="s">
        <v>3</v>
      </c>
      <c r="E81" s="23" t="s">
        <v>4</v>
      </c>
      <c r="F81" s="23" t="s">
        <v>5</v>
      </c>
      <c r="G81" s="23" t="s">
        <v>6</v>
      </c>
      <c r="H81" s="23" t="s">
        <v>7</v>
      </c>
      <c r="I81" s="23" t="s">
        <v>8</v>
      </c>
      <c r="J81" s="23" t="s">
        <v>9</v>
      </c>
      <c r="K81" s="23" t="s">
        <v>10</v>
      </c>
      <c r="L81" s="23" t="s">
        <v>11</v>
      </c>
      <c r="M81" s="30" t="s">
        <v>139</v>
      </c>
      <c r="N81" s="25" t="s">
        <v>140</v>
      </c>
      <c r="O81" s="25" t="s">
        <v>141</v>
      </c>
      <c r="P81" s="31" t="s">
        <v>142</v>
      </c>
    </row>
    <row r="82" spans="1:16" x14ac:dyDescent="0.35">
      <c r="A82" s="10">
        <v>11</v>
      </c>
      <c r="B82" s="11" t="s">
        <v>216</v>
      </c>
      <c r="K82" s="32">
        <v>45908</v>
      </c>
      <c r="L82" s="28"/>
      <c r="M82" t="s">
        <v>217</v>
      </c>
      <c r="N82" t="s">
        <v>162</v>
      </c>
      <c r="O82" t="s">
        <v>143</v>
      </c>
    </row>
    <row r="83" spans="1:16" x14ac:dyDescent="0.35">
      <c r="A83" s="10">
        <v>11</v>
      </c>
      <c r="B83" s="11" t="s">
        <v>216</v>
      </c>
      <c r="K83" s="32">
        <v>45908</v>
      </c>
      <c r="L83" s="28"/>
      <c r="M83" t="s">
        <v>218</v>
      </c>
      <c r="N83" t="s">
        <v>162</v>
      </c>
      <c r="O83" t="s">
        <v>145</v>
      </c>
      <c r="P83" s="29"/>
    </row>
    <row r="84" spans="1:16" x14ac:dyDescent="0.35">
      <c r="A84" s="10">
        <v>11</v>
      </c>
      <c r="B84" s="11" t="s">
        <v>216</v>
      </c>
      <c r="K84" s="32">
        <v>45908</v>
      </c>
      <c r="L84" s="28"/>
      <c r="M84" t="s">
        <v>219</v>
      </c>
      <c r="N84" t="s">
        <v>36</v>
      </c>
      <c r="O84" t="s">
        <v>144</v>
      </c>
    </row>
    <row r="85" spans="1:16" x14ac:dyDescent="0.35">
      <c r="A85" s="10"/>
      <c r="B85" s="11"/>
      <c r="K85" s="32"/>
      <c r="L85" s="28"/>
    </row>
    <row r="86" spans="1:16" x14ac:dyDescent="0.35">
      <c r="A86" s="10">
        <v>11</v>
      </c>
      <c r="B86" s="11" t="s">
        <v>220</v>
      </c>
      <c r="K86" s="32">
        <v>45922</v>
      </c>
      <c r="L86" s="28"/>
      <c r="M86" t="s">
        <v>221</v>
      </c>
      <c r="N86" t="s">
        <v>149</v>
      </c>
      <c r="O86" t="s">
        <v>144</v>
      </c>
    </row>
    <row r="87" spans="1:16" x14ac:dyDescent="0.35">
      <c r="A87" s="10">
        <v>11</v>
      </c>
      <c r="B87" s="11" t="s">
        <v>220</v>
      </c>
      <c r="K87" s="32">
        <v>45922</v>
      </c>
      <c r="L87" s="28"/>
      <c r="M87" t="s">
        <v>222</v>
      </c>
      <c r="N87" t="s">
        <v>149</v>
      </c>
      <c r="O87" t="s">
        <v>143</v>
      </c>
    </row>
    <row r="88" spans="1:16" x14ac:dyDescent="0.35">
      <c r="A88" s="10">
        <v>11</v>
      </c>
      <c r="B88" s="11" t="s">
        <v>220</v>
      </c>
      <c r="K88" s="32">
        <v>45922</v>
      </c>
      <c r="L88" s="28"/>
      <c r="M88" t="s">
        <v>223</v>
      </c>
      <c r="N88" t="s">
        <v>224</v>
      </c>
      <c r="O88" t="s">
        <v>143</v>
      </c>
    </row>
    <row r="89" spans="1:16" x14ac:dyDescent="0.35">
      <c r="A89" s="10">
        <v>11</v>
      </c>
      <c r="B89" s="11" t="s">
        <v>220</v>
      </c>
      <c r="K89" s="32">
        <v>45922</v>
      </c>
      <c r="L89" s="28"/>
      <c r="M89" t="s">
        <v>225</v>
      </c>
      <c r="N89" t="s">
        <v>226</v>
      </c>
      <c r="O89" t="s">
        <v>46</v>
      </c>
    </row>
    <row r="90" spans="1:16" x14ac:dyDescent="0.35">
      <c r="A90" s="10"/>
      <c r="B90" s="11"/>
      <c r="K90" s="32"/>
      <c r="L90" s="28"/>
    </row>
    <row r="91" spans="1:16" x14ac:dyDescent="0.35">
      <c r="A91" s="23" t="s">
        <v>0</v>
      </c>
      <c r="B91" s="23" t="s">
        <v>1</v>
      </c>
      <c r="C91" s="23" t="s">
        <v>2</v>
      </c>
      <c r="D91" s="23" t="s">
        <v>3</v>
      </c>
      <c r="E91" s="23" t="s">
        <v>4</v>
      </c>
      <c r="F91" s="23" t="s">
        <v>5</v>
      </c>
      <c r="G91" s="23" t="s">
        <v>6</v>
      </c>
      <c r="H91" s="23" t="s">
        <v>7</v>
      </c>
      <c r="I91" s="23" t="s">
        <v>8</v>
      </c>
      <c r="J91" s="23" t="s">
        <v>9</v>
      </c>
      <c r="K91" s="23" t="s">
        <v>10</v>
      </c>
      <c r="L91" s="23" t="s">
        <v>11</v>
      </c>
      <c r="M91" s="30" t="s">
        <v>139</v>
      </c>
      <c r="N91" s="25" t="s">
        <v>140</v>
      </c>
      <c r="O91" s="25" t="s">
        <v>141</v>
      </c>
      <c r="P91" s="31" t="s">
        <v>142</v>
      </c>
    </row>
    <row r="92" spans="1:16" x14ac:dyDescent="0.35">
      <c r="A92" s="10">
        <v>17</v>
      </c>
      <c r="B92" s="11" t="s">
        <v>227</v>
      </c>
      <c r="K92" s="32">
        <v>45932</v>
      </c>
      <c r="L92" s="28"/>
      <c r="M92" t="s">
        <v>228</v>
      </c>
      <c r="N92" t="s">
        <v>162</v>
      </c>
      <c r="O92" t="s">
        <v>143</v>
      </c>
    </row>
    <row r="93" spans="1:16" x14ac:dyDescent="0.35">
      <c r="A93" s="10">
        <v>17</v>
      </c>
      <c r="B93" s="11" t="s">
        <v>227</v>
      </c>
      <c r="K93" s="32">
        <v>45932</v>
      </c>
      <c r="L93" s="28"/>
      <c r="M93" t="s">
        <v>229</v>
      </c>
      <c r="N93" t="s">
        <v>230</v>
      </c>
      <c r="O93" t="s">
        <v>145</v>
      </c>
    </row>
    <row r="94" spans="1:16" x14ac:dyDescent="0.35">
      <c r="A94" s="10">
        <v>17</v>
      </c>
      <c r="B94" s="11" t="s">
        <v>227</v>
      </c>
      <c r="K94" s="32">
        <v>45932</v>
      </c>
      <c r="L94" s="28"/>
      <c r="M94" t="s">
        <v>231</v>
      </c>
      <c r="N94" t="s">
        <v>158</v>
      </c>
      <c r="O94" t="s">
        <v>46</v>
      </c>
    </row>
    <row r="95" spans="1:16" x14ac:dyDescent="0.35">
      <c r="A95" s="10"/>
      <c r="B95" s="11"/>
      <c r="K95" s="28"/>
      <c r="L95" s="28"/>
    </row>
    <row r="96" spans="1:16" x14ac:dyDescent="0.35">
      <c r="A96" s="10">
        <v>17</v>
      </c>
      <c r="B96" s="11" t="s">
        <v>232</v>
      </c>
      <c r="K96" s="32">
        <v>45884</v>
      </c>
      <c r="L96" s="28"/>
      <c r="M96" t="s">
        <v>233</v>
      </c>
      <c r="N96" t="s">
        <v>162</v>
      </c>
      <c r="O96" t="s">
        <v>143</v>
      </c>
    </row>
    <row r="97" spans="1:15" x14ac:dyDescent="0.35">
      <c r="A97" s="10">
        <v>17</v>
      </c>
      <c r="B97" s="11" t="s">
        <v>232</v>
      </c>
      <c r="K97" s="32">
        <v>45884</v>
      </c>
      <c r="L97" s="28"/>
      <c r="M97" t="s">
        <v>234</v>
      </c>
      <c r="N97" t="s">
        <v>162</v>
      </c>
      <c r="O97" t="s">
        <v>145</v>
      </c>
    </row>
    <row r="98" spans="1:15" x14ac:dyDescent="0.35">
      <c r="A98" s="10">
        <v>17</v>
      </c>
      <c r="B98" s="11" t="s">
        <v>232</v>
      </c>
      <c r="K98" s="32">
        <v>45884</v>
      </c>
      <c r="L98" s="28"/>
      <c r="M98" t="s">
        <v>235</v>
      </c>
      <c r="N98" t="s">
        <v>149</v>
      </c>
      <c r="O98" t="s">
        <v>143</v>
      </c>
    </row>
    <row r="99" spans="1:15" x14ac:dyDescent="0.35">
      <c r="A99" s="10">
        <v>17</v>
      </c>
      <c r="B99" s="11" t="s">
        <v>232</v>
      </c>
      <c r="K99" s="32">
        <v>45884</v>
      </c>
      <c r="L99" s="28"/>
      <c r="M99" t="s">
        <v>236</v>
      </c>
      <c r="N99" t="s">
        <v>149</v>
      </c>
      <c r="O99" t="s">
        <v>143</v>
      </c>
    </row>
    <row r="100" spans="1:15" x14ac:dyDescent="0.35">
      <c r="A100" s="33"/>
      <c r="K100" s="28"/>
      <c r="L100" s="28"/>
    </row>
    <row r="101" spans="1:15" x14ac:dyDescent="0.35">
      <c r="A101">
        <v>17</v>
      </c>
      <c r="B101" t="s">
        <v>237</v>
      </c>
      <c r="C101" t="s">
        <v>76</v>
      </c>
      <c r="D101" t="s">
        <v>77</v>
      </c>
      <c r="E101" t="s">
        <v>27</v>
      </c>
      <c r="K101" s="3">
        <v>45965</v>
      </c>
      <c r="L101" s="28" t="s">
        <v>20</v>
      </c>
      <c r="M101" t="s">
        <v>238</v>
      </c>
      <c r="N101" t="s">
        <v>149</v>
      </c>
      <c r="O101" t="s">
        <v>143</v>
      </c>
    </row>
    <row r="102" spans="1:15" x14ac:dyDescent="0.35">
      <c r="K102" s="28"/>
      <c r="L102" s="28"/>
    </row>
    <row r="103" spans="1:15" x14ac:dyDescent="0.35">
      <c r="A103" s="10">
        <v>17</v>
      </c>
      <c r="B103" t="s">
        <v>72</v>
      </c>
      <c r="C103" t="s">
        <v>73</v>
      </c>
      <c r="D103" t="s">
        <v>37</v>
      </c>
      <c r="K103" s="27">
        <v>46011</v>
      </c>
      <c r="L103" s="28"/>
      <c r="M103" t="s">
        <v>239</v>
      </c>
      <c r="N103" t="s">
        <v>149</v>
      </c>
      <c r="O103" t="s">
        <v>143</v>
      </c>
    </row>
    <row r="104" spans="1:15" x14ac:dyDescent="0.35">
      <c r="A104" s="10">
        <v>17</v>
      </c>
      <c r="B104" t="s">
        <v>72</v>
      </c>
      <c r="C104" t="s">
        <v>73</v>
      </c>
      <c r="D104" t="s">
        <v>37</v>
      </c>
      <c r="K104" s="27">
        <v>46011</v>
      </c>
      <c r="L104" s="28"/>
      <c r="M104" t="s">
        <v>240</v>
      </c>
      <c r="N104" t="s">
        <v>149</v>
      </c>
      <c r="O104" t="s">
        <v>143</v>
      </c>
    </row>
    <row r="105" spans="1:15" x14ac:dyDescent="0.35">
      <c r="A105" s="10">
        <v>17</v>
      </c>
      <c r="B105" t="s">
        <v>72</v>
      </c>
      <c r="C105" t="s">
        <v>73</v>
      </c>
      <c r="D105" t="s">
        <v>37</v>
      </c>
      <c r="K105" s="27">
        <v>46011</v>
      </c>
      <c r="L105" s="28"/>
      <c r="M105" t="s">
        <v>241</v>
      </c>
      <c r="N105" t="s">
        <v>149</v>
      </c>
      <c r="O105" t="s">
        <v>145</v>
      </c>
    </row>
    <row r="106" spans="1:15" x14ac:dyDescent="0.35">
      <c r="A106" s="10">
        <v>17</v>
      </c>
      <c r="B106" t="s">
        <v>72</v>
      </c>
      <c r="C106" t="s">
        <v>73</v>
      </c>
      <c r="D106" t="s">
        <v>37</v>
      </c>
      <c r="K106" s="27">
        <v>46011</v>
      </c>
      <c r="L106" s="28"/>
      <c r="M106" t="s">
        <v>242</v>
      </c>
      <c r="N106" t="s">
        <v>149</v>
      </c>
      <c r="O106" t="s">
        <v>46</v>
      </c>
    </row>
    <row r="107" spans="1:15" x14ac:dyDescent="0.35">
      <c r="A107" s="10"/>
      <c r="K107" s="28"/>
      <c r="L107" s="28"/>
    </row>
    <row r="108" spans="1:15" x14ac:dyDescent="0.35">
      <c r="A108" s="10">
        <v>17</v>
      </c>
      <c r="B108" s="11" t="s">
        <v>81</v>
      </c>
      <c r="C108" s="11" t="s">
        <v>76</v>
      </c>
      <c r="D108" s="11" t="s">
        <v>32</v>
      </c>
      <c r="E108" s="11"/>
      <c r="F108" s="11"/>
      <c r="G108" s="11"/>
      <c r="H108" s="11"/>
      <c r="I108" s="11"/>
      <c r="J108" s="11"/>
      <c r="K108" s="32">
        <v>46066</v>
      </c>
      <c r="L108" s="28"/>
      <c r="M108" t="s">
        <v>243</v>
      </c>
      <c r="N108" t="s">
        <v>152</v>
      </c>
      <c r="O108" t="s">
        <v>143</v>
      </c>
    </row>
    <row r="109" spans="1:15" x14ac:dyDescent="0.35">
      <c r="A109" s="10">
        <v>17</v>
      </c>
      <c r="B109" s="11" t="s">
        <v>81</v>
      </c>
      <c r="C109" s="11" t="s">
        <v>76</v>
      </c>
      <c r="D109" s="11" t="s">
        <v>32</v>
      </c>
      <c r="E109" s="11"/>
      <c r="F109" s="11"/>
      <c r="G109" s="11"/>
      <c r="H109" s="11"/>
      <c r="I109" s="11"/>
      <c r="J109" s="11"/>
      <c r="K109" s="32">
        <v>46066</v>
      </c>
      <c r="L109" s="28"/>
      <c r="M109" t="s">
        <v>244</v>
      </c>
      <c r="N109" t="s">
        <v>98</v>
      </c>
      <c r="O109" t="s">
        <v>145</v>
      </c>
    </row>
    <row r="110" spans="1:15" x14ac:dyDescent="0.35">
      <c r="A110" s="10">
        <v>17</v>
      </c>
      <c r="B110" s="11" t="s">
        <v>81</v>
      </c>
      <c r="C110" s="11" t="s">
        <v>76</v>
      </c>
      <c r="D110" s="11" t="s">
        <v>32</v>
      </c>
      <c r="E110" s="11"/>
      <c r="F110" s="11"/>
      <c r="G110" s="11"/>
      <c r="H110" s="11"/>
      <c r="I110" s="11"/>
      <c r="J110" s="11"/>
      <c r="K110" s="32">
        <v>46066</v>
      </c>
      <c r="L110" s="28"/>
      <c r="M110" t="s">
        <v>245</v>
      </c>
      <c r="N110" t="s">
        <v>152</v>
      </c>
      <c r="O110" t="s">
        <v>143</v>
      </c>
    </row>
    <row r="111" spans="1:15" x14ac:dyDescent="0.35">
      <c r="A111" s="10">
        <v>17</v>
      </c>
      <c r="B111" s="11" t="s">
        <v>81</v>
      </c>
      <c r="C111" s="11" t="s">
        <v>76</v>
      </c>
      <c r="D111" s="11" t="s">
        <v>32</v>
      </c>
      <c r="E111" s="11"/>
      <c r="F111" s="11"/>
      <c r="G111" s="11"/>
      <c r="H111" s="11"/>
      <c r="I111" s="11"/>
      <c r="J111" s="11"/>
      <c r="K111" s="32">
        <v>46066</v>
      </c>
      <c r="L111" s="28"/>
      <c r="M111" t="s">
        <v>246</v>
      </c>
      <c r="N111" t="s">
        <v>98</v>
      </c>
      <c r="O111" t="s">
        <v>143</v>
      </c>
    </row>
    <row r="112" spans="1:15" x14ac:dyDescent="0.35">
      <c r="A112" s="33"/>
      <c r="K112" s="28"/>
      <c r="L112" s="28"/>
    </row>
    <row r="113" spans="1:16" x14ac:dyDescent="0.35">
      <c r="A113" s="10">
        <v>17</v>
      </c>
      <c r="B113" s="11" t="s">
        <v>84</v>
      </c>
      <c r="C113" s="11" t="s">
        <v>43</v>
      </c>
      <c r="D113" s="11" t="s">
        <v>64</v>
      </c>
      <c r="E113" s="11" t="s">
        <v>78</v>
      </c>
      <c r="F113" s="11" t="s">
        <v>85</v>
      </c>
      <c r="G113" s="11" t="s">
        <v>36</v>
      </c>
      <c r="H113" s="11"/>
      <c r="I113" s="11"/>
      <c r="J113" s="11"/>
      <c r="K113" s="32">
        <v>46094</v>
      </c>
      <c r="L113" s="28"/>
      <c r="M113" t="s">
        <v>247</v>
      </c>
      <c r="N113" t="s">
        <v>149</v>
      </c>
      <c r="O113" t="s">
        <v>145</v>
      </c>
      <c r="P113" s="29"/>
    </row>
    <row r="114" spans="1:16" x14ac:dyDescent="0.35">
      <c r="A114" s="10">
        <v>17</v>
      </c>
      <c r="B114" s="11" t="s">
        <v>84</v>
      </c>
      <c r="C114" s="11" t="s">
        <v>43</v>
      </c>
      <c r="D114" s="11" t="s">
        <v>64</v>
      </c>
      <c r="E114" s="11" t="s">
        <v>78</v>
      </c>
      <c r="F114" s="11" t="s">
        <v>85</v>
      </c>
      <c r="G114" s="11" t="s">
        <v>36</v>
      </c>
      <c r="H114" s="11"/>
      <c r="I114" s="11"/>
      <c r="J114" s="11"/>
      <c r="K114" s="32">
        <v>46094</v>
      </c>
      <c r="L114" s="28"/>
      <c r="M114" t="s">
        <v>248</v>
      </c>
      <c r="N114" t="s">
        <v>162</v>
      </c>
      <c r="O114" t="s">
        <v>145</v>
      </c>
      <c r="P114" s="29"/>
    </row>
    <row r="115" spans="1:16" x14ac:dyDescent="0.35">
      <c r="A115" s="33"/>
      <c r="K115" s="28"/>
      <c r="L115" s="28"/>
    </row>
    <row r="116" spans="1:16" x14ac:dyDescent="0.35">
      <c r="A116" s="10">
        <v>17</v>
      </c>
      <c r="B116" s="11" t="s">
        <v>87</v>
      </c>
      <c r="C116" s="11" t="s">
        <v>78</v>
      </c>
      <c r="D116" s="11" t="s">
        <v>36</v>
      </c>
      <c r="E116" s="11" t="s">
        <v>88</v>
      </c>
      <c r="F116" s="11"/>
      <c r="G116" s="11"/>
      <c r="H116" s="11"/>
      <c r="I116" s="11"/>
      <c r="J116" s="11"/>
      <c r="K116" s="32">
        <v>46107</v>
      </c>
      <c r="L116" s="28"/>
      <c r="M116" t="s">
        <v>249</v>
      </c>
      <c r="N116" t="s">
        <v>250</v>
      </c>
      <c r="O116" t="s">
        <v>145</v>
      </c>
      <c r="P116" s="29"/>
    </row>
    <row r="148" spans="14:15" x14ac:dyDescent="0.35">
      <c r="N148" s="4"/>
      <c r="O148" s="4"/>
    </row>
    <row r="149" spans="14:15" x14ac:dyDescent="0.35">
      <c r="N149" s="4"/>
      <c r="O149" s="4"/>
    </row>
    <row r="150" spans="14:15" x14ac:dyDescent="0.35">
      <c r="N150" s="4"/>
      <c r="O150" s="4"/>
    </row>
    <row r="151" spans="14:15" x14ac:dyDescent="0.35">
      <c r="N151" s="4"/>
      <c r="O151" s="4"/>
    </row>
    <row r="152" spans="14:15" x14ac:dyDescent="0.35">
      <c r="N152" s="4"/>
      <c r="O152" s="4"/>
    </row>
    <row r="153" spans="14:15" x14ac:dyDescent="0.35">
      <c r="N153" s="4"/>
      <c r="O153" s="4"/>
    </row>
    <row r="154" spans="14:15" x14ac:dyDescent="0.35">
      <c r="N154" s="4"/>
      <c r="O154" s="4"/>
    </row>
    <row r="155" spans="14:15" x14ac:dyDescent="0.35">
      <c r="N155" s="4"/>
      <c r="O155" s="4"/>
    </row>
    <row r="156" spans="14:15" x14ac:dyDescent="0.35">
      <c r="N156" s="4"/>
      <c r="O156" s="4"/>
    </row>
    <row r="157" spans="14:15" x14ac:dyDescent="0.35">
      <c r="N157" s="4"/>
      <c r="O157" s="4"/>
    </row>
    <row r="158" spans="14:15" x14ac:dyDescent="0.35">
      <c r="N158" s="4"/>
      <c r="O158" s="4"/>
    </row>
    <row r="159" spans="14:15" x14ac:dyDescent="0.35">
      <c r="N159" s="4"/>
      <c r="O159" s="4"/>
    </row>
    <row r="160" spans="14:15" x14ac:dyDescent="0.35">
      <c r="N160" s="4"/>
      <c r="O160" s="4"/>
    </row>
    <row r="161" spans="1:15" x14ac:dyDescent="0.35">
      <c r="N161" s="4"/>
      <c r="O161" s="4"/>
    </row>
    <row r="162" spans="1:15" x14ac:dyDescent="0.35">
      <c r="N162" s="4"/>
      <c r="O162" s="4"/>
    </row>
    <row r="163" spans="1:15" x14ac:dyDescent="0.35">
      <c r="N163" s="4"/>
      <c r="O163" s="4"/>
    </row>
    <row r="164" spans="1:15" x14ac:dyDescent="0.35">
      <c r="N164" s="4"/>
      <c r="O164" s="4"/>
    </row>
    <row r="165" spans="1:15" x14ac:dyDescent="0.35">
      <c r="N165" s="4"/>
      <c r="O165" s="4"/>
    </row>
    <row r="166" spans="1:15" x14ac:dyDescent="0.35">
      <c r="N166" s="4"/>
      <c r="O166" s="4"/>
    </row>
    <row r="167" spans="1:15" x14ac:dyDescent="0.35">
      <c r="A167" s="6" t="s">
        <v>251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28"/>
    </row>
    <row r="168" spans="1:15" x14ac:dyDescent="0.3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28"/>
    </row>
    <row r="169" spans="1:15" x14ac:dyDescent="0.3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28"/>
    </row>
    <row r="170" spans="1:15" x14ac:dyDescent="0.35">
      <c r="A170" s="34" t="s">
        <v>0</v>
      </c>
      <c r="B170" s="34" t="s">
        <v>252</v>
      </c>
      <c r="C170" s="4"/>
      <c r="D170" s="4"/>
      <c r="E170" s="4"/>
      <c r="F170" s="4"/>
      <c r="G170" s="4"/>
      <c r="H170" s="4"/>
      <c r="I170" s="4"/>
      <c r="J170" s="4"/>
      <c r="K170" s="34" t="s">
        <v>253</v>
      </c>
      <c r="L170" s="4"/>
      <c r="M170" s="35" t="s">
        <v>139</v>
      </c>
      <c r="N170" s="34" t="s">
        <v>254</v>
      </c>
      <c r="O170" s="34" t="s">
        <v>141</v>
      </c>
    </row>
    <row r="171" spans="1:15" x14ac:dyDescent="0.35">
      <c r="A171" s="10" cm="1">
        <f t="array" ref="A171:O218">_xlfn._xlws.SORT(_xlfn._xlws.FILTER(A2:O164,(TRIM(O2:O164)="On going")+(TRIM(O2:O164)="Pending")),1,TRUE)</f>
        <v>7</v>
      </c>
      <c r="B171" s="11" t="str">
        <v>Aiger no listo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 s="32">
        <v>46083</v>
      </c>
      <c r="L171" s="28">
        <v>0</v>
      </c>
      <c r="M171" t="str">
        <v>Crear CL de ajuste de detector de fases</v>
      </c>
      <c r="N171" t="str">
        <v>Rafael</v>
      </c>
      <c r="O171" t="str">
        <v>Pending</v>
      </c>
    </row>
    <row r="172" spans="1:15" x14ac:dyDescent="0.35">
      <c r="A172" s="10">
        <v>7</v>
      </c>
      <c r="B172" s="11" t="str">
        <v>Aiger no listo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s="32">
        <v>46083</v>
      </c>
      <c r="L172" s="28">
        <v>0</v>
      </c>
      <c r="M172" t="str">
        <v>Crear OPL de ajuste</v>
      </c>
      <c r="N172" t="str">
        <v>Rafael</v>
      </c>
      <c r="O172" t="str">
        <v>Pending</v>
      </c>
    </row>
    <row r="173" spans="1:15" x14ac:dyDescent="0.35">
      <c r="A173" s="10">
        <v>7</v>
      </c>
      <c r="B173" s="11" t="str">
        <v>Aiger no listo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 s="32">
        <v>46083</v>
      </c>
      <c r="L173" s="28">
        <v>0</v>
      </c>
      <c r="M173" t="str">
        <v>Colocar tapones al cambio</v>
      </c>
      <c r="N173" t="str">
        <v>Rafael</v>
      </c>
      <c r="O173" t="str">
        <v>Pending</v>
      </c>
    </row>
    <row r="174" spans="1:15" x14ac:dyDescent="0.35">
      <c r="A174" s="10">
        <v>7</v>
      </c>
      <c r="B174" s="11" t="str">
        <v>Tira filtro por faltante en falo TEWS</v>
      </c>
      <c r="C174" t="str">
        <v>Leonardo M.</v>
      </c>
      <c r="D174" t="str">
        <v>Pedro A.</v>
      </c>
      <c r="E174" t="str">
        <v>Rafael S.</v>
      </c>
      <c r="F174">
        <v>0</v>
      </c>
      <c r="G174">
        <v>0</v>
      </c>
      <c r="H174">
        <v>0</v>
      </c>
      <c r="I174">
        <v>0</v>
      </c>
      <c r="J174">
        <v>0</v>
      </c>
      <c r="K174" s="32">
        <v>46104</v>
      </c>
      <c r="L174" s="28">
        <v>0</v>
      </c>
      <c r="M174" t="str">
        <v>TI limpieza de sensor TEWS</v>
      </c>
      <c r="N174" t="str">
        <v>Rafael</v>
      </c>
      <c r="O174" t="str">
        <v>Pending</v>
      </c>
    </row>
    <row r="175" spans="1:15" x14ac:dyDescent="0.35">
      <c r="A175" s="10">
        <v>7</v>
      </c>
      <c r="B175" s="11" t="str">
        <v>Movimiento de papel, abre varill</v>
      </c>
      <c r="C175" t="str">
        <v>Fernando R.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s="32">
        <v>0</v>
      </c>
      <c r="L175" s="28">
        <v>0</v>
      </c>
      <c r="M175" t="str">
        <v>CL posicion de guía de papel</v>
      </c>
      <c r="N175" t="str">
        <v>Oscar</v>
      </c>
      <c r="O175" t="str">
        <v>Pending</v>
      </c>
    </row>
    <row r="176" spans="1:15" x14ac:dyDescent="0.35">
      <c r="A176" s="10">
        <v>7</v>
      </c>
      <c r="B176" s="11" t="str">
        <v>Movimiento de papel, abre varill</v>
      </c>
      <c r="C176" t="str">
        <v>Fernando R.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 s="32">
        <v>0</v>
      </c>
      <c r="L176" s="28">
        <v>0</v>
      </c>
      <c r="M176" t="str">
        <v>Agregar a CL Tope de lengúeta</v>
      </c>
      <c r="N176" t="str">
        <v>Saúl</v>
      </c>
      <c r="O176" t="str">
        <v>Pending</v>
      </c>
    </row>
    <row r="177" spans="1:15" x14ac:dyDescent="0.35">
      <c r="A177" s="10">
        <v>7</v>
      </c>
      <c r="B177" s="11" t="str">
        <v>Movimiento de papel, abre varill</v>
      </c>
      <c r="C177" t="str">
        <v>Fernando R.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s="32">
        <v>0</v>
      </c>
      <c r="L177" s="28">
        <v>0</v>
      </c>
      <c r="M177" t="str">
        <v>OPL Limpieza de guía de papel</v>
      </c>
      <c r="N177" t="str">
        <v>Saúl</v>
      </c>
      <c r="O177" t="str">
        <v>Pending</v>
      </c>
    </row>
    <row r="178" spans="1:15" x14ac:dyDescent="0.35">
      <c r="A178" s="10">
        <v>7</v>
      </c>
      <c r="B178" s="11" t="str">
        <v>Movimiento de papel, abre varill</v>
      </c>
      <c r="C178" t="str">
        <v>Fernando R.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s="32">
        <v>0</v>
      </c>
      <c r="L178" s="28">
        <v>0</v>
      </c>
      <c r="M178" t="str">
        <v>Agregar limpieza de guía a CIL</v>
      </c>
      <c r="N178" t="str">
        <v>Berni</v>
      </c>
      <c r="O178" t="str">
        <v>Pending</v>
      </c>
    </row>
    <row r="179" spans="1:15" x14ac:dyDescent="0.35">
      <c r="A179" s="10">
        <v>7</v>
      </c>
      <c r="B179" s="11" t="str">
        <v>Movimiento de papel, abre varill</v>
      </c>
      <c r="C179" t="str">
        <v>Fernando R.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s="32">
        <v>0</v>
      </c>
      <c r="L179" s="28">
        <v>0</v>
      </c>
      <c r="M179" t="str">
        <v>Reaplicar guía de papel pocayoket</v>
      </c>
      <c r="N179" t="str">
        <v>Saul</v>
      </c>
      <c r="O179" t="str">
        <v>Pending</v>
      </c>
    </row>
    <row r="180" spans="1:15" x14ac:dyDescent="0.35">
      <c r="A180" s="10">
        <v>8</v>
      </c>
      <c r="B180" s="11" t="str">
        <v>Atasco en salida, filtro chueco.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s="32">
        <v>45927</v>
      </c>
      <c r="L180" s="28">
        <v>0</v>
      </c>
      <c r="M180" t="str">
        <v>Crear boquilla diametro menor en soplador</v>
      </c>
      <c r="N180" t="str">
        <v>Saúl</v>
      </c>
      <c r="O180" t="str">
        <v>Pending</v>
      </c>
    </row>
    <row r="181" spans="1:15" x14ac:dyDescent="0.35">
      <c r="A181" s="10">
        <v>8</v>
      </c>
      <c r="B181" s="11" t="str">
        <v>Atasco en salida, filtro chueco.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s="32">
        <v>45927</v>
      </c>
      <c r="L181" s="28">
        <v>0</v>
      </c>
      <c r="M181" t="str">
        <v>OPL de nueva forma de limpieza</v>
      </c>
      <c r="N181" t="str">
        <v>Morris</v>
      </c>
      <c r="O181" t="str">
        <v>Pending</v>
      </c>
    </row>
    <row r="182" spans="1:15" x14ac:dyDescent="0.35">
      <c r="A182" s="10">
        <v>8</v>
      </c>
      <c r="B182" s="11" t="str">
        <v>Varilla abierta por mezcla KHOL y Goma</v>
      </c>
      <c r="C182" t="str">
        <v>Marcos</v>
      </c>
      <c r="D182" t="str">
        <v>Cesar M.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s="32">
        <v>45964</v>
      </c>
      <c r="L182" s="28">
        <v>0</v>
      </c>
      <c r="M182" t="str">
        <v>Difundir OPL de ajuste de tobera de mentol</v>
      </c>
      <c r="N182" t="str">
        <v>Omar O.</v>
      </c>
      <c r="O182" t="str">
        <v>Pending</v>
      </c>
    </row>
    <row r="183" spans="1:15" x14ac:dyDescent="0.35">
      <c r="A183" s="10">
        <v>8</v>
      </c>
      <c r="B183" s="11" t="str">
        <v>Varilla abierta por mezcla KHOL y Goma</v>
      </c>
      <c r="C183" t="str">
        <v>Marcos</v>
      </c>
      <c r="D183" t="str">
        <v>Cesar M.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s="32">
        <v>45964</v>
      </c>
      <c r="L183" s="28">
        <v>0</v>
      </c>
      <c r="M183" t="str">
        <v>CL posición tobera de mentol</v>
      </c>
      <c r="N183" t="str">
        <v>Oscar</v>
      </c>
      <c r="O183" t="str">
        <v>Pending</v>
      </c>
    </row>
    <row r="184" spans="1:15" x14ac:dyDescent="0.35">
      <c r="A184" s="10">
        <v>8</v>
      </c>
      <c r="B184" s="11" t="str">
        <v>Varilla abierta por suciedad de PVA (KHOL)</v>
      </c>
      <c r="C184" t="str">
        <v>Oscar P.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s="32">
        <v>46000</v>
      </c>
      <c r="L184" s="28">
        <v>0</v>
      </c>
      <c r="M184" t="str">
        <v>Alinear Placa calefactora a 3mm del rodillo excentrico</v>
      </c>
      <c r="N184" t="str">
        <v>Saúl</v>
      </c>
      <c r="O184" t="str">
        <v>Pending</v>
      </c>
    </row>
    <row r="185" spans="1:15" x14ac:dyDescent="0.35">
      <c r="A185" s="10">
        <v>8</v>
      </c>
      <c r="B185" s="11" t="str">
        <v>Varilla abierta por suciedad de PVA (KHOL)</v>
      </c>
      <c r="C185" t="str">
        <v>Oscar P.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s="32">
        <v>46000</v>
      </c>
      <c r="L185" s="28">
        <v>0</v>
      </c>
      <c r="M185" t="str">
        <v>Alinear pernos a la palca calefactora</v>
      </c>
      <c r="N185" t="str">
        <v>Saúl</v>
      </c>
      <c r="O185" t="str">
        <v>Pending</v>
      </c>
    </row>
    <row r="186" spans="1:15" x14ac:dyDescent="0.35">
      <c r="A186" s="10">
        <v>8</v>
      </c>
      <c r="B186" s="11" t="str">
        <v>Varilla abierta por suciedad de PVA (KHOL)</v>
      </c>
      <c r="C186" t="str">
        <v>Oscar P.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s="32">
        <v>46000</v>
      </c>
      <c r="L186" s="28">
        <v>0</v>
      </c>
      <c r="M186" t="str">
        <v>Barrenar para que los pernos queden anclados a la bancada</v>
      </c>
      <c r="N186" t="str">
        <v>Saúl</v>
      </c>
      <c r="O186" t="str">
        <v>Pending</v>
      </c>
    </row>
    <row r="187" spans="1:15" x14ac:dyDescent="0.35">
      <c r="A187" s="10">
        <v>8</v>
      </c>
      <c r="B187" s="11" t="str">
        <v>Varilla abierta por suciedad de PVA (KHOL)</v>
      </c>
      <c r="C187" t="str">
        <v>Oscar P.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s="32">
        <v>46000</v>
      </c>
      <c r="L187" s="28">
        <v>0</v>
      </c>
      <c r="M187" t="str">
        <v>Actualizar CL ataque placa calefactora</v>
      </c>
      <c r="N187" t="str">
        <v>Oscar</v>
      </c>
      <c r="O187" t="str">
        <v>Pending</v>
      </c>
    </row>
    <row r="188" spans="1:15" x14ac:dyDescent="0.35">
      <c r="A188" s="10">
        <v>8</v>
      </c>
      <c r="B188" s="11" t="str">
        <v>Varilla abierta por suciedad de PVA (KHOL)</v>
      </c>
      <c r="C188" t="str">
        <v>Oscar P.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s="32">
        <v>46000</v>
      </c>
      <c r="L188" s="28">
        <v>0</v>
      </c>
      <c r="M188" t="str">
        <v>Actualizar ataques ataques toberas HM, REF, ANC, KHOL</v>
      </c>
      <c r="N188" t="str">
        <v>Oscar</v>
      </c>
      <c r="O188" t="str">
        <v>Pending</v>
      </c>
    </row>
    <row r="189" spans="1:15" x14ac:dyDescent="0.35">
      <c r="A189" s="10">
        <v>8</v>
      </c>
      <c r="B189" s="11" t="str">
        <v>Intermitencia en linea de refuerzo PVA</v>
      </c>
      <c r="C189" t="str">
        <v>Eduardo V.</v>
      </c>
      <c r="D189" t="str">
        <v>Julio F.</v>
      </c>
      <c r="E189" t="str">
        <v>Juan Garcia</v>
      </c>
      <c r="F189">
        <v>0</v>
      </c>
      <c r="G189">
        <v>0</v>
      </c>
      <c r="H189">
        <v>0</v>
      </c>
      <c r="I189">
        <v>0</v>
      </c>
      <c r="J189">
        <v>0</v>
      </c>
      <c r="K189" s="32">
        <v>46044</v>
      </c>
      <c r="L189" s="28">
        <v>0</v>
      </c>
      <c r="M189" t="str">
        <v>Generar OPL nuevo metodo de medicion de ángulo</v>
      </c>
      <c r="N189" t="str">
        <v>Edgar B.</v>
      </c>
      <c r="O189" t="str">
        <v>Pending</v>
      </c>
    </row>
    <row r="190" spans="1:15" x14ac:dyDescent="0.35">
      <c r="A190" s="10">
        <v>8</v>
      </c>
      <c r="B190" s="11" t="str">
        <v>Intermitencia en linea de refuerzo PVA</v>
      </c>
      <c r="C190" t="str">
        <v>Eduardo V.</v>
      </c>
      <c r="D190" t="str">
        <v>Julio F.</v>
      </c>
      <c r="E190" t="str">
        <v>Juan Garcia</v>
      </c>
      <c r="F190">
        <v>0</v>
      </c>
      <c r="G190">
        <v>0</v>
      </c>
      <c r="H190">
        <v>0</v>
      </c>
      <c r="I190">
        <v>0</v>
      </c>
      <c r="J190">
        <v>0</v>
      </c>
      <c r="K190" s="32">
        <v>46044</v>
      </c>
      <c r="L190" s="28">
        <v>0</v>
      </c>
      <c r="M190" t="str">
        <v>Reemplazar cedazo faltante de bomba PVA</v>
      </c>
      <c r="N190" t="str">
        <v>Saúl</v>
      </c>
      <c r="O190" t="str">
        <v>Pending</v>
      </c>
    </row>
    <row r="191" spans="1:15" x14ac:dyDescent="0.35">
      <c r="A191" s="10">
        <v>8</v>
      </c>
      <c r="B191" s="11" t="str">
        <v>Intermitencia en linea de refuerzo PVA</v>
      </c>
      <c r="C191" t="str">
        <v>Eduardo V.</v>
      </c>
      <c r="D191" t="str">
        <v>Julio F.</v>
      </c>
      <c r="E191" t="str">
        <v>Juan Garcia</v>
      </c>
      <c r="F191">
        <v>0</v>
      </c>
      <c r="G191">
        <v>0</v>
      </c>
      <c r="H191">
        <v>0</v>
      </c>
      <c r="I191">
        <v>0</v>
      </c>
      <c r="J191">
        <v>0</v>
      </c>
      <c r="K191" s="32">
        <v>46044</v>
      </c>
      <c r="L191" s="28">
        <v>0</v>
      </c>
      <c r="M191" t="str">
        <v>Modificar método de prueba de cálidad de yodo</v>
      </c>
      <c r="N191" t="str">
        <v>Berni</v>
      </c>
      <c r="O191" t="str">
        <v>Pending</v>
      </c>
    </row>
    <row r="192" spans="1:15" x14ac:dyDescent="0.35">
      <c r="A192" s="10">
        <v>8</v>
      </c>
      <c r="B192" s="11" t="str">
        <v>Desperdicio alto por falta de cápsula</v>
      </c>
      <c r="C192" t="str">
        <v>Omar B.</v>
      </c>
      <c r="D192" t="str">
        <v>Marcos R.</v>
      </c>
      <c r="E192" t="str">
        <v>Pedro A.</v>
      </c>
      <c r="F192">
        <v>0</v>
      </c>
      <c r="G192">
        <v>0</v>
      </c>
      <c r="H192">
        <v>0</v>
      </c>
      <c r="I192">
        <v>0</v>
      </c>
      <c r="J192">
        <v>0</v>
      </c>
      <c r="K192" s="32">
        <v>46069</v>
      </c>
      <c r="L192" s="28">
        <v>0</v>
      </c>
      <c r="M192" t="str">
        <v>Cambiar CL llenado de amplificador a 3400 COCL Megacaps</v>
      </c>
      <c r="N192" t="str">
        <v>Oscar</v>
      </c>
      <c r="O192" t="str">
        <v>Pending</v>
      </c>
    </row>
    <row r="193" spans="1:15" x14ac:dyDescent="0.35">
      <c r="A193" s="10">
        <v>8</v>
      </c>
      <c r="B193" s="11" t="str">
        <v>Desperdicio alto por falta de cápsula</v>
      </c>
      <c r="C193" t="str">
        <v>Omar B.</v>
      </c>
      <c r="D193" t="str">
        <v>Marcos R.</v>
      </c>
      <c r="E193" t="str">
        <v>Pedro A.</v>
      </c>
      <c r="F193">
        <v>0</v>
      </c>
      <c r="G193">
        <v>0</v>
      </c>
      <c r="H193">
        <v>0</v>
      </c>
      <c r="I193">
        <v>0</v>
      </c>
      <c r="J193">
        <v>0</v>
      </c>
      <c r="K193" s="32">
        <v>46069</v>
      </c>
      <c r="L193" s="28">
        <v>0</v>
      </c>
      <c r="M193" t="str">
        <v>Agregar ayudas visuales</v>
      </c>
      <c r="N193" t="str">
        <v>Oscar</v>
      </c>
      <c r="O193" t="str">
        <v>Pending</v>
      </c>
    </row>
    <row r="194" spans="1:15" x14ac:dyDescent="0.35">
      <c r="A194" s="10">
        <v>8</v>
      </c>
      <c r="B194" s="11" t="str">
        <v>HCI no se queda abajo</v>
      </c>
      <c r="C194" t="str">
        <v>Luis M.</v>
      </c>
      <c r="D194" t="str">
        <v>Edgar S.</v>
      </c>
      <c r="E194" t="str">
        <v>Herbierto M.</v>
      </c>
      <c r="F194" t="str">
        <v>Andres B.</v>
      </c>
      <c r="G194" t="str">
        <v>Cesar M.</v>
      </c>
      <c r="H194" t="str">
        <v>Omar O.</v>
      </c>
      <c r="I194">
        <v>0</v>
      </c>
      <c r="J194">
        <v>0</v>
      </c>
      <c r="K194" s="32">
        <v>46064</v>
      </c>
      <c r="L194" s="28">
        <v>0</v>
      </c>
      <c r="M194" t="str">
        <v>Programar cambio de conectores en el proximo mantenimiento electrico del HCI. Recurso: 20094375</v>
      </c>
      <c r="N194" t="str">
        <v>Saúl</v>
      </c>
      <c r="O194" t="str">
        <v>Pending</v>
      </c>
    </row>
    <row r="195" spans="1:15" x14ac:dyDescent="0.35">
      <c r="A195" s="10">
        <v>8</v>
      </c>
      <c r="B195" s="11" t="str">
        <v>HCI no se queda abajo</v>
      </c>
      <c r="C195" t="str">
        <v>Luis M.</v>
      </c>
      <c r="D195" t="str">
        <v>Edgar S.</v>
      </c>
      <c r="E195" t="str">
        <v>Herbierto M.</v>
      </c>
      <c r="F195" t="str">
        <v>Andres B.</v>
      </c>
      <c r="G195" t="str">
        <v>Cesar M.</v>
      </c>
      <c r="H195" t="str">
        <v>Omar O.</v>
      </c>
      <c r="I195">
        <v>0</v>
      </c>
      <c r="J195">
        <v>0</v>
      </c>
      <c r="K195" s="32">
        <v>46064</v>
      </c>
      <c r="L195" s="28">
        <v>0</v>
      </c>
      <c r="M195" t="str">
        <v>MCL de distancia deteccion sensores B10 y B11</v>
      </c>
      <c r="N195" t="str">
        <v>Oscar</v>
      </c>
      <c r="O195" t="str">
        <v>Pending</v>
      </c>
    </row>
    <row r="196" spans="1:15" x14ac:dyDescent="0.35">
      <c r="A196" s="10">
        <v>8</v>
      </c>
      <c r="B196" s="11" t="str">
        <v>Tira todo por circunferncia Alta</v>
      </c>
      <c r="C196" t="str">
        <v>Marcos R.</v>
      </c>
      <c r="D196" t="str">
        <v>Pedro A.</v>
      </c>
      <c r="E196" t="str">
        <v>Rafael S.</v>
      </c>
      <c r="F196">
        <v>0</v>
      </c>
      <c r="G196">
        <v>0</v>
      </c>
      <c r="H196">
        <v>0</v>
      </c>
      <c r="I196">
        <v>0</v>
      </c>
      <c r="J196">
        <v>0</v>
      </c>
      <c r="K196" s="32">
        <v>46086</v>
      </c>
      <c r="L196" s="28">
        <v>0</v>
      </c>
      <c r="M196" t="str">
        <v>COCL Estandar KHOL</v>
      </c>
      <c r="N196" t="str">
        <v>Oscar</v>
      </c>
      <c r="O196" t="str">
        <v>Pending</v>
      </c>
    </row>
    <row r="197" spans="1:15" x14ac:dyDescent="0.35">
      <c r="A197" s="10">
        <v>8</v>
      </c>
      <c r="B197" s="11" t="str">
        <v>Tira todo por circunferncia Alta</v>
      </c>
      <c r="C197" t="str">
        <v>Marcos R.</v>
      </c>
      <c r="D197" t="str">
        <v>Pedro A.</v>
      </c>
      <c r="E197" t="str">
        <v>Rafael S.</v>
      </c>
      <c r="F197">
        <v>0</v>
      </c>
      <c r="G197">
        <v>0</v>
      </c>
      <c r="H197">
        <v>0</v>
      </c>
      <c r="I197">
        <v>0</v>
      </c>
      <c r="J197">
        <v>0</v>
      </c>
      <c r="K197" s="32">
        <v>46086</v>
      </c>
      <c r="L197" s="28">
        <v>0</v>
      </c>
      <c r="M197" t="str">
        <v>Crear TI de rutina de limpieza del ODM</v>
      </c>
      <c r="N197" t="str">
        <v>Rafael</v>
      </c>
      <c r="O197" t="str">
        <v>Pending</v>
      </c>
    </row>
    <row r="198" spans="1:15" x14ac:dyDescent="0.35">
      <c r="A198" s="10">
        <v>8</v>
      </c>
      <c r="B198" s="11" t="str">
        <v>Desperdicio alto por faltante de cápsul</v>
      </c>
      <c r="C198" t="str">
        <v>Eduardo V.</v>
      </c>
      <c r="D198" t="str">
        <v>Julio F.</v>
      </c>
      <c r="E198" t="str">
        <v>Mayra H.</v>
      </c>
      <c r="F198">
        <v>0</v>
      </c>
      <c r="G198">
        <v>0</v>
      </c>
      <c r="H198">
        <v>0</v>
      </c>
      <c r="I198">
        <v>0</v>
      </c>
      <c r="J198">
        <v>0</v>
      </c>
      <c r="K198" s="32">
        <v>46106</v>
      </c>
      <c r="L198" s="28">
        <v>0</v>
      </c>
      <c r="M198" t="str">
        <v>Realizar OPL limpieza interna de venturi</v>
      </c>
      <c r="N198" t="str">
        <v>Julio F.</v>
      </c>
      <c r="O198" t="str">
        <v>Pending</v>
      </c>
    </row>
    <row r="199" spans="1:15" x14ac:dyDescent="0.35">
      <c r="A199" s="10">
        <v>8</v>
      </c>
      <c r="B199" s="11" t="str">
        <v>Desperdicio alto por faltante de cápsul</v>
      </c>
      <c r="C199" t="str">
        <v>Eduardo V.</v>
      </c>
      <c r="D199" t="str">
        <v>Julio F.</v>
      </c>
      <c r="E199" t="str">
        <v>Mayra H.</v>
      </c>
      <c r="F199">
        <v>0</v>
      </c>
      <c r="G199">
        <v>0</v>
      </c>
      <c r="H199">
        <v>0</v>
      </c>
      <c r="I199">
        <v>0</v>
      </c>
      <c r="J199">
        <v>0</v>
      </c>
      <c r="K199" s="32">
        <v>46106</v>
      </c>
      <c r="L199" s="28">
        <v>0</v>
      </c>
      <c r="M199" t="str">
        <v>Programar cambio de manguera DH</v>
      </c>
      <c r="N199" t="str">
        <v>Saul</v>
      </c>
      <c r="O199" t="str">
        <v>Pending</v>
      </c>
    </row>
    <row r="200" spans="1:15" x14ac:dyDescent="0.35">
      <c r="A200" s="10">
        <v>8</v>
      </c>
      <c r="B200" s="11" t="str">
        <v>Cuota de produccion se pasa por 40TH</v>
      </c>
      <c r="C200" t="str">
        <v>Eduardo V.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s="32">
        <v>46113</v>
      </c>
      <c r="L200" s="28">
        <v>0</v>
      </c>
      <c r="M200" t="str">
        <v>OPL trigger cierre de cuota y cambio de PO</v>
      </c>
      <c r="N200" t="str">
        <v>Eduardo V.</v>
      </c>
      <c r="O200" t="str">
        <v>Pending</v>
      </c>
    </row>
    <row r="201" spans="1:15" x14ac:dyDescent="0.35">
      <c r="A201">
        <v>9</v>
      </c>
      <c r="B201" t="str">
        <v>Segmento del Aiger</v>
      </c>
      <c r="C201" t="str">
        <v>Luis R.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45910</v>
      </c>
      <c r="L201">
        <v>0</v>
      </c>
      <c r="M201" t="str">
        <v>Graduar posición de segmento en base</v>
      </c>
      <c r="N201" t="str">
        <v>Saúl</v>
      </c>
      <c r="O201" t="str">
        <v>Pending</v>
      </c>
    </row>
    <row r="202" spans="1:15" x14ac:dyDescent="0.35">
      <c r="A202">
        <v>9</v>
      </c>
      <c r="B202" t="str">
        <v>Segmento del Aiger</v>
      </c>
      <c r="C202" t="str">
        <v>Luis R.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45910</v>
      </c>
      <c r="L202">
        <v>0</v>
      </c>
      <c r="M202" t="str">
        <v>Realizar TI de ajuste de segmento en la base</v>
      </c>
      <c r="N202" t="str">
        <v>Saúl</v>
      </c>
      <c r="O202" t="str">
        <v>Pending</v>
      </c>
    </row>
    <row r="203" spans="1:15" x14ac:dyDescent="0.35">
      <c r="A203">
        <v>9</v>
      </c>
      <c r="B203" t="str">
        <v>No gira portabobinas al cambio</v>
      </c>
      <c r="C203" t="str">
        <v>Fernando R.</v>
      </c>
      <c r="D203" t="str">
        <v>Juan Luis G.</v>
      </c>
      <c r="E203" t="str">
        <v>Julio F.</v>
      </c>
      <c r="F203" t="str">
        <v>Omar O.</v>
      </c>
      <c r="G203" t="str">
        <v>Heriberto M.</v>
      </c>
      <c r="H203">
        <v>0</v>
      </c>
      <c r="I203">
        <v>0</v>
      </c>
      <c r="J203">
        <v>0</v>
      </c>
      <c r="K203">
        <v>46106</v>
      </c>
      <c r="L203">
        <v>0</v>
      </c>
      <c r="M203" t="str">
        <v>Añadir inspección de portabobinas (tornillos brida) a rutina 1250hrs.</v>
      </c>
      <c r="N203" t="str">
        <v>Saul</v>
      </c>
      <c r="O203" t="str">
        <v>Pending</v>
      </c>
    </row>
    <row r="204" spans="1:15" x14ac:dyDescent="0.35">
      <c r="A204">
        <v>9</v>
      </c>
      <c r="B204" t="str">
        <v>HCF se alarma</v>
      </c>
      <c r="C204" t="str">
        <v>Silvia F.</v>
      </c>
      <c r="D204" t="str">
        <v>Fernando R.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46085</v>
      </c>
      <c r="L204">
        <v>0</v>
      </c>
      <c r="M204" t="str">
        <v>Agregar funcionamiento y alineación de micros.</v>
      </c>
      <c r="N204" t="str">
        <v>Saúl</v>
      </c>
      <c r="O204" t="str">
        <v>Pending</v>
      </c>
    </row>
    <row r="205" spans="1:15" x14ac:dyDescent="0.35">
      <c r="A205">
        <v>10</v>
      </c>
      <c r="B205" t="str">
        <v>Se sale varilla por control dinamico de mecha</v>
      </c>
      <c r="C205" t="str">
        <v>Victor.</v>
      </c>
      <c r="D205" t="str">
        <v>Omar B.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46087</v>
      </c>
      <c r="L205">
        <v>0</v>
      </c>
      <c r="M205" t="str">
        <v>Agrear a rutinas de MP&amp;S marcaje de fecha de cambio de cepillos</v>
      </c>
      <c r="N205" t="str">
        <v>Saúl</v>
      </c>
      <c r="O205" t="str">
        <v>Pending</v>
      </c>
    </row>
    <row r="206" spans="1:15" x14ac:dyDescent="0.35">
      <c r="A206">
        <v>10</v>
      </c>
      <c r="B206" t="str">
        <v>Se sale bobina</v>
      </c>
      <c r="C206" t="str">
        <v>Victor.</v>
      </c>
      <c r="D206" t="str">
        <v>Raul R.</v>
      </c>
      <c r="E206" t="str">
        <v>Julio F.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46098</v>
      </c>
      <c r="L206">
        <v>0</v>
      </c>
      <c r="M206" t="str">
        <v>Agregar a MCL presion de uñas de bobina</v>
      </c>
      <c r="N206" t="str">
        <v>Oscar</v>
      </c>
      <c r="O206" t="str">
        <v>Pending</v>
      </c>
    </row>
    <row r="207" spans="1:15" x14ac:dyDescent="0.35">
      <c r="A207">
        <v>10</v>
      </c>
      <c r="B207" t="str">
        <v>Se sale bobina</v>
      </c>
      <c r="C207" t="str">
        <v>Victor.</v>
      </c>
      <c r="D207" t="str">
        <v>Raul R.</v>
      </c>
      <c r="E207" t="str">
        <v>Julio F.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46098</v>
      </c>
      <c r="L207">
        <v>0</v>
      </c>
      <c r="M207" t="str">
        <v>Cambio de electrovalvula sistema portabobina</v>
      </c>
      <c r="N207" t="str">
        <v>Saúl</v>
      </c>
      <c r="O207" t="str">
        <v>Pending</v>
      </c>
    </row>
    <row r="208" spans="1:15" x14ac:dyDescent="0.35">
      <c r="A208">
        <v>10</v>
      </c>
      <c r="B208" t="str">
        <v>Papel queda debajo del plegador</v>
      </c>
      <c r="C208" t="str">
        <v>Victor S.</v>
      </c>
      <c r="D208" t="str">
        <v>Pedro A.</v>
      </c>
      <c r="E208" t="str">
        <v>Abraham.</v>
      </c>
      <c r="F208" t="str">
        <v>Omar B.</v>
      </c>
      <c r="G208">
        <v>0</v>
      </c>
      <c r="H208">
        <v>0</v>
      </c>
      <c r="I208">
        <v>0</v>
      </c>
      <c r="J208">
        <v>0</v>
      </c>
      <c r="K208">
        <v>45952</v>
      </c>
      <c r="L208">
        <v>0</v>
      </c>
      <c r="M208" t="str">
        <v>Agregar actividades de desplazamiento a rutina de formador</v>
      </c>
      <c r="N208" t="str">
        <v>Saúl</v>
      </c>
      <c r="O208" t="str">
        <v>Pending</v>
      </c>
    </row>
    <row r="209" spans="1:15" x14ac:dyDescent="0.35">
      <c r="A209">
        <v>11</v>
      </c>
      <c r="B209" t="str">
        <v>Varilla abierta,mov papel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45908</v>
      </c>
      <c r="L209">
        <v>0</v>
      </c>
      <c r="M209" t="str">
        <v>Agregar a CL distancia de portabobinas a bancada</v>
      </c>
      <c r="N209" t="str">
        <v>Oscar</v>
      </c>
      <c r="O209" t="str">
        <v>Pending</v>
      </c>
    </row>
    <row r="210" spans="1:15" x14ac:dyDescent="0.35">
      <c r="A210">
        <v>11</v>
      </c>
      <c r="B210" t="str">
        <v>Varilla abierta,mov papel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45908</v>
      </c>
      <c r="L210">
        <v>0</v>
      </c>
      <c r="M210" t="str">
        <v>Realizar SIMPTWW de medicción defreno de bobinas</v>
      </c>
      <c r="N210" t="str">
        <v>Julio F.</v>
      </c>
      <c r="O210" t="str">
        <v>On going</v>
      </c>
    </row>
    <row r="211" spans="1:15" x14ac:dyDescent="0.35">
      <c r="A211">
        <v>11</v>
      </c>
      <c r="B211" t="str">
        <v>Capsula faltante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45922</v>
      </c>
      <c r="L211">
        <v>0</v>
      </c>
      <c r="M211" t="str">
        <v>Agregar rutina inspección laina</v>
      </c>
      <c r="N211" t="str">
        <v>Saúl</v>
      </c>
      <c r="O211" t="str">
        <v>On going</v>
      </c>
    </row>
    <row r="212" spans="1:15" x14ac:dyDescent="0.35">
      <c r="A212">
        <v>17</v>
      </c>
      <c r="B212" t="str">
        <v>Atoramiento de filtro en tambor de salida (Flujo masivo)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45932</v>
      </c>
      <c r="L212">
        <v>0</v>
      </c>
      <c r="M212" t="str">
        <v>Crear OPL para colocación de mica</v>
      </c>
      <c r="N212" t="str">
        <v>Nico S</v>
      </c>
      <c r="O212" t="str">
        <v>Pending</v>
      </c>
    </row>
    <row r="213" spans="1:15" x14ac:dyDescent="0.35">
      <c r="A213">
        <v>17</v>
      </c>
      <c r="B213" t="str">
        <v>Punto de acumulación (Suciedad en lengueta)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45884</v>
      </c>
      <c r="L213">
        <v>0</v>
      </c>
      <c r="M213" t="str">
        <v>Determinar ajuste de altura de papel solo con la aguía de papel</v>
      </c>
      <c r="N213" t="str">
        <v>Oscar</v>
      </c>
      <c r="O213" t="str">
        <v>Pending</v>
      </c>
    </row>
    <row r="214" spans="1:15" x14ac:dyDescent="0.35">
      <c r="A214">
        <v>17</v>
      </c>
      <c r="B214" t="str">
        <v>Atasco en formador en flujo masivo</v>
      </c>
      <c r="C214" t="str">
        <v>Uriel B.</v>
      </c>
      <c r="D214" t="str">
        <v>Omar O.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46011</v>
      </c>
      <c r="L214">
        <v>0</v>
      </c>
      <c r="M214" t="str">
        <v>Añadir limpieza e inspección, 5K horas (Transmisión)</v>
      </c>
      <c r="N214" t="str">
        <v>Saúl</v>
      </c>
      <c r="O214" t="str">
        <v>Pending</v>
      </c>
    </row>
    <row r="215" spans="1:15" x14ac:dyDescent="0.35">
      <c r="A215">
        <v>17</v>
      </c>
      <c r="B215" t="str">
        <v>Peso de filtro alto</v>
      </c>
      <c r="C215" t="str">
        <v>Monse D.</v>
      </c>
      <c r="D215" t="str">
        <v>Rafael S.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46066</v>
      </c>
      <c r="L215">
        <v>0</v>
      </c>
      <c r="M215" t="str">
        <v>Definir trigger calirbracion Plastificante</v>
      </c>
      <c r="N215" t="str">
        <v>Oscar P.</v>
      </c>
      <c r="O215" t="str">
        <v>Pending</v>
      </c>
    </row>
    <row r="216" spans="1:15" x14ac:dyDescent="0.35">
      <c r="A216">
        <v>17</v>
      </c>
      <c r="B216" t="str">
        <v>Expulsión por falta de vacio</v>
      </c>
      <c r="C216" t="str">
        <v>Heriberto C.</v>
      </c>
      <c r="D216" t="str">
        <v>Alejandro M.</v>
      </c>
      <c r="E216" t="str">
        <v>Nicolas S.</v>
      </c>
      <c r="F216" t="str">
        <v>Mayra H.</v>
      </c>
      <c r="G216" t="str">
        <v>Julio F.</v>
      </c>
      <c r="H216">
        <v>0</v>
      </c>
      <c r="I216">
        <v>0</v>
      </c>
      <c r="J216">
        <v>0</v>
      </c>
      <c r="K216">
        <v>46094</v>
      </c>
      <c r="L216">
        <v>0</v>
      </c>
      <c r="M216" t="str">
        <v>Alineación de refeljantes en misma posición en el acrilico</v>
      </c>
      <c r="N216" t="str">
        <v>Saúl</v>
      </c>
      <c r="O216" t="str">
        <v>Pending</v>
      </c>
    </row>
    <row r="217" spans="1:15" x14ac:dyDescent="0.35">
      <c r="A217">
        <v>17</v>
      </c>
      <c r="B217" t="str">
        <v>Expulsión por falta de vacio</v>
      </c>
      <c r="C217" t="str">
        <v>Heriberto C.</v>
      </c>
      <c r="D217" t="str">
        <v>Alejandro M.</v>
      </c>
      <c r="E217" t="str">
        <v>Nicolas S.</v>
      </c>
      <c r="F217" t="str">
        <v>Mayra H.</v>
      </c>
      <c r="G217" t="str">
        <v>Julio F.</v>
      </c>
      <c r="H217">
        <v>0</v>
      </c>
      <c r="I217">
        <v>0</v>
      </c>
      <c r="J217">
        <v>0</v>
      </c>
      <c r="K217">
        <v>46094</v>
      </c>
      <c r="L217">
        <v>0</v>
      </c>
      <c r="M217" t="str">
        <v>Actualizar CL de llenado de amplificador</v>
      </c>
      <c r="N217" t="str">
        <v>Oscar</v>
      </c>
      <c r="O217" t="str">
        <v>Pending</v>
      </c>
    </row>
    <row r="218" spans="1:15" x14ac:dyDescent="0.35">
      <c r="A218">
        <v>17</v>
      </c>
      <c r="B218" t="str">
        <v>Arranque tardio por reparación de DH</v>
      </c>
      <c r="C218" t="str">
        <v>Nicolas S.</v>
      </c>
      <c r="D218" t="str">
        <v>Julio F.</v>
      </c>
      <c r="E218" t="str">
        <v>Saúl E.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46107</v>
      </c>
      <c r="L218">
        <v>0</v>
      </c>
      <c r="M218" t="str">
        <v>Realizar OPL para arranque al realizar LOTO CIL</v>
      </c>
      <c r="N218" t="str">
        <v>Nicloas S.</v>
      </c>
      <c r="O218" t="str">
        <v>Pending</v>
      </c>
    </row>
  </sheetData>
  <mergeCells count="1">
    <mergeCell ref="A167:K169"/>
  </mergeCells>
  <conditionalFormatting sqref="A2:A15">
    <cfRule type="cellIs" dxfId="209" priority="52" operator="equal">
      <formula>7</formula>
    </cfRule>
    <cfRule type="cellIs" dxfId="210" priority="53" operator="equal">
      <formula>9</formula>
    </cfRule>
    <cfRule type="cellIs" dxfId="211" priority="54" operator="equal">
      <formula>10</formula>
    </cfRule>
    <cfRule type="cellIs" dxfId="212" priority="55" operator="equal">
      <formula>17</formula>
    </cfRule>
    <cfRule type="cellIs" dxfId="214" priority="56" operator="equal">
      <formula>11</formula>
    </cfRule>
    <cfRule type="cellIs" dxfId="213" priority="57" operator="equal">
      <formula>8</formula>
    </cfRule>
  </conditionalFormatting>
  <conditionalFormatting sqref="A6:A15">
    <cfRule type="containsBlanks" dxfId="208" priority="1">
      <formula>LEN(TRIM(A6))=0</formula>
    </cfRule>
  </conditionalFormatting>
  <conditionalFormatting sqref="A16:A23 A54:A73 A80 A35 A37:A52 A82:A90 A92:A99 A101">
    <cfRule type="cellIs" dxfId="207" priority="92" operator="equal">
      <formula>7</formula>
    </cfRule>
    <cfRule type="cellIs" dxfId="206" priority="93" operator="equal">
      <formula>9</formula>
    </cfRule>
    <cfRule type="cellIs" dxfId="204" priority="94" operator="equal">
      <formula>10</formula>
    </cfRule>
    <cfRule type="cellIs" dxfId="203" priority="95" operator="equal">
      <formula>17</formula>
    </cfRule>
    <cfRule type="cellIs" dxfId="205" priority="96" operator="equal">
      <formula>11</formula>
    </cfRule>
    <cfRule type="cellIs" dxfId="202" priority="97" operator="equal">
      <formula>8</formula>
    </cfRule>
  </conditionalFormatting>
  <conditionalFormatting sqref="A25:A27 A103:A106">
    <cfRule type="containsBlanks" dxfId="197" priority="99">
      <formula>LEN(TRIM(A25))=0</formula>
    </cfRule>
    <cfRule type="cellIs" dxfId="198" priority="100" operator="equal">
      <formula>7</formula>
    </cfRule>
    <cfRule type="cellIs" dxfId="199" priority="101" operator="equal">
      <formula>9</formula>
    </cfRule>
    <cfRule type="cellIs" dxfId="200" priority="102" operator="equal">
      <formula>10</formula>
    </cfRule>
    <cfRule type="cellIs" dxfId="196" priority="103" operator="equal">
      <formula>17</formula>
    </cfRule>
    <cfRule type="cellIs" dxfId="201" priority="104" operator="equal">
      <formula>11</formula>
    </cfRule>
    <cfRule type="cellIs" dxfId="195" priority="105" operator="equal">
      <formula>8</formula>
    </cfRule>
  </conditionalFormatting>
  <conditionalFormatting sqref="A25:A31">
    <cfRule type="cellIs" dxfId="192" priority="64" operator="equal">
      <formula>7</formula>
    </cfRule>
    <cfRule type="cellIs" dxfId="193" priority="65" operator="equal">
      <formula>9</formula>
    </cfRule>
    <cfRule type="cellIs" dxfId="194" priority="66" operator="equal">
      <formula>10</formula>
    </cfRule>
    <cfRule type="cellIs" dxfId="190" priority="67" operator="equal">
      <formula>17</formula>
    </cfRule>
    <cfRule type="cellIs" dxfId="189" priority="68" operator="equal">
      <formula>11</formula>
    </cfRule>
    <cfRule type="cellIs" dxfId="191" priority="69" operator="equal">
      <formula>8</formula>
    </cfRule>
  </conditionalFormatting>
  <conditionalFormatting sqref="A28:A31">
    <cfRule type="containsBlanks" dxfId="188" priority="63">
      <formula>LEN(TRIM(A28))=0</formula>
    </cfRule>
  </conditionalFormatting>
  <conditionalFormatting sqref="A32:A34">
    <cfRule type="cellIs" dxfId="182" priority="3" operator="equal">
      <formula>7</formula>
    </cfRule>
    <cfRule type="cellIs" dxfId="183" priority="4" operator="equal">
      <formula>9</formula>
    </cfRule>
    <cfRule type="cellIs" dxfId="184" priority="5" operator="equal">
      <formula>10</formula>
    </cfRule>
    <cfRule type="cellIs" dxfId="185" priority="6" operator="equal">
      <formula>17</formula>
    </cfRule>
    <cfRule type="cellIs" dxfId="186" priority="7" operator="equal">
      <formula>11</formula>
    </cfRule>
    <cfRule type="cellIs" dxfId="187" priority="8" operator="equal">
      <formula>8</formula>
    </cfRule>
  </conditionalFormatting>
  <conditionalFormatting sqref="A34">
    <cfRule type="containsBlanks" dxfId="181" priority="2">
      <formula>LEN(TRIM(A34))=0</formula>
    </cfRule>
  </conditionalFormatting>
  <conditionalFormatting sqref="A46:A52">
    <cfRule type="containsBlanks" dxfId="180" priority="124">
      <formula>LEN(TRIM(A46))=0</formula>
    </cfRule>
  </conditionalFormatting>
  <conditionalFormatting sqref="A66:A72">
    <cfRule type="containsBlanks" dxfId="179" priority="111">
      <formula>LEN(TRIM(A66))=0</formula>
    </cfRule>
  </conditionalFormatting>
  <conditionalFormatting sqref="A73:A79">
    <cfRule type="containsBlanks" dxfId="178" priority="74">
      <formula>LEN(TRIM(A73))=0</formula>
    </cfRule>
  </conditionalFormatting>
  <conditionalFormatting sqref="A74:A79">
    <cfRule type="cellIs" dxfId="176" priority="75" operator="equal">
      <formula>7</formula>
    </cfRule>
    <cfRule type="cellIs" dxfId="177" priority="76" operator="equal">
      <formula>9</formula>
    </cfRule>
    <cfRule type="cellIs" dxfId="175" priority="77" operator="equal">
      <formula>10</formula>
    </cfRule>
    <cfRule type="cellIs" dxfId="174" priority="78" operator="equal">
      <formula>17</formula>
    </cfRule>
    <cfRule type="cellIs" dxfId="173" priority="79" operator="equal">
      <formula>11</formula>
    </cfRule>
    <cfRule type="cellIs" dxfId="172" priority="80" operator="equal">
      <formula>8</formula>
    </cfRule>
  </conditionalFormatting>
  <conditionalFormatting sqref="A108:A111">
    <cfRule type="containsBlanks" dxfId="166" priority="112">
      <formula>LEN(TRIM(A108))=0</formula>
    </cfRule>
    <cfRule type="cellIs" dxfId="167" priority="113" operator="equal">
      <formula>7</formula>
    </cfRule>
    <cfRule type="cellIs" dxfId="168" priority="114" operator="equal">
      <formula>9</formula>
    </cfRule>
    <cfRule type="cellIs" dxfId="169" priority="115" operator="equal">
      <formula>10</formula>
    </cfRule>
    <cfRule type="cellIs" dxfId="170" priority="116" operator="equal">
      <formula>17</formula>
    </cfRule>
    <cfRule type="cellIs" dxfId="171" priority="117" operator="equal">
      <formula>11</formula>
    </cfRule>
    <cfRule type="cellIs" dxfId="165" priority="118" operator="equal">
      <formula>8</formula>
    </cfRule>
  </conditionalFormatting>
  <conditionalFormatting sqref="A113:A114">
    <cfRule type="containsBlanks" dxfId="158" priority="40">
      <formula>LEN(TRIM(A113))=0</formula>
    </cfRule>
    <cfRule type="cellIs" dxfId="159" priority="41" operator="equal">
      <formula>7</formula>
    </cfRule>
    <cfRule type="cellIs" dxfId="160" priority="42" operator="equal">
      <formula>9</formula>
    </cfRule>
    <cfRule type="cellIs" dxfId="161" priority="43" operator="equal">
      <formula>10</formula>
    </cfRule>
    <cfRule type="cellIs" dxfId="162" priority="44" operator="equal">
      <formula>17</formula>
    </cfRule>
    <cfRule type="cellIs" dxfId="163" priority="45" operator="equal">
      <formula>11</formula>
    </cfRule>
    <cfRule type="cellIs" dxfId="164" priority="46" operator="equal">
      <formula>8</formula>
    </cfRule>
  </conditionalFormatting>
  <conditionalFormatting sqref="A116">
    <cfRule type="containsBlanks" dxfId="152" priority="28">
      <formula>LEN(TRIM(A116))=0</formula>
    </cfRule>
    <cfRule type="cellIs" dxfId="151" priority="29" operator="equal">
      <formula>7</formula>
    </cfRule>
    <cfRule type="cellIs" dxfId="157" priority="30" operator="equal">
      <formula>9</formula>
    </cfRule>
    <cfRule type="cellIs" dxfId="156" priority="31" operator="equal">
      <formula>10</formula>
    </cfRule>
    <cfRule type="cellIs" dxfId="155" priority="32" operator="equal">
      <formula>17</formula>
    </cfRule>
    <cfRule type="cellIs" dxfId="154" priority="33" operator="equal">
      <formula>11</formula>
    </cfRule>
    <cfRule type="cellIs" dxfId="153" priority="34" operator="equal">
      <formula>8</formula>
    </cfRule>
  </conditionalFormatting>
  <conditionalFormatting sqref="A140:A166 A171:A200">
    <cfRule type="cellIs" dxfId="150" priority="163" operator="equal">
      <formula>7</formula>
    </cfRule>
    <cfRule type="cellIs" dxfId="149" priority="164" operator="equal">
      <formula>9</formula>
    </cfRule>
    <cfRule type="cellIs" dxfId="148" priority="165" operator="equal">
      <formula>10</formula>
    </cfRule>
    <cfRule type="cellIs" dxfId="147" priority="166" operator="equal">
      <formula>17</formula>
    </cfRule>
    <cfRule type="cellIs" dxfId="146" priority="167" operator="equal">
      <formula>11</formula>
    </cfRule>
    <cfRule type="cellIs" dxfId="145" priority="168" operator="equal">
      <formula>8</formula>
    </cfRule>
  </conditionalFormatting>
  <conditionalFormatting sqref="K2:K5 K25:K27 K37:K40 K82:K90 K92:K94">
    <cfRule type="expression" dxfId="143" priority="146">
      <formula>AND(TODAY() - K2 &lt;= 30, TODAY() - K2+K2 &gt; 15)</formula>
    </cfRule>
    <cfRule type="expression" dxfId="144" priority="147">
      <formula>TODAY() - K2 &gt; 30</formula>
    </cfRule>
  </conditionalFormatting>
  <conditionalFormatting sqref="K2:K5 K25:K27 K37:K40 K92:K94 K82:K90">
    <cfRule type="expression" dxfId="142" priority="145">
      <formula>TODAY() - K2 &lt;= 15</formula>
    </cfRule>
  </conditionalFormatting>
  <conditionalFormatting sqref="K2:K15">
    <cfRule type="containsBlanks" dxfId="141" priority="58">
      <formula>LEN(TRIM(K2))=0</formula>
    </cfRule>
  </conditionalFormatting>
  <conditionalFormatting sqref="K6:K15">
    <cfRule type="expression" dxfId="139" priority="59">
      <formula>TODAY() - K6 &lt;= 7</formula>
    </cfRule>
    <cfRule type="expression" dxfId="140" priority="60">
      <formula>TODAY() - K6 &lt;= 15</formula>
    </cfRule>
    <cfRule type="expression" dxfId="138" priority="61">
      <formula>AND(TODAY() - K6 &lt;= 30, TODAY() - K6+K6 &gt; 15)</formula>
    </cfRule>
    <cfRule type="expression" dxfId="137" priority="62">
      <formula>TODAY() - K6 &gt; 30</formula>
    </cfRule>
  </conditionalFormatting>
  <conditionalFormatting sqref="K16:K23 K80">
    <cfRule type="containsBlanks" dxfId="133" priority="86">
      <formula>LEN(TRIM(K16))=0</formula>
    </cfRule>
    <cfRule type="expression" dxfId="134" priority="87">
      <formula>TODAY() - K16 &lt;= 7</formula>
    </cfRule>
    <cfRule type="expression" dxfId="135" priority="88">
      <formula>TODAY() - K16 &lt;= 15</formula>
    </cfRule>
    <cfRule type="expression" dxfId="136" priority="89">
      <formula>AND(TODAY() - K16 &lt;= 30, TODAY() - K16+K16 &gt; 15)</formula>
    </cfRule>
    <cfRule type="expression" dxfId="132" priority="90">
      <formula>TODAY() - K16 &gt; 30</formula>
    </cfRule>
  </conditionalFormatting>
  <conditionalFormatting sqref="K25:K31">
    <cfRule type="expression" dxfId="128" priority="70">
      <formula>TODAY() - K25 &lt;= 7</formula>
    </cfRule>
    <cfRule type="expression" dxfId="131" priority="71">
      <formula>TODAY() - K25 &lt;= 15</formula>
    </cfRule>
    <cfRule type="expression" dxfId="130" priority="72">
      <formula>AND(TODAY() - K25 &lt;= 30, TODAY() - K25+K25 &gt; 15)</formula>
    </cfRule>
    <cfRule type="expression" dxfId="129" priority="73">
      <formula>TODAY() - K25 &gt; 30</formula>
    </cfRule>
  </conditionalFormatting>
  <conditionalFormatting sqref="K25:K34">
    <cfRule type="containsBlanks" dxfId="127" priority="9">
      <formula>LEN(TRIM(K25))=0</formula>
    </cfRule>
  </conditionalFormatting>
  <conditionalFormatting sqref="K32:K33">
    <cfRule type="expression" dxfId="125" priority="24">
      <formula>TODAY() - K32 &lt;= 8</formula>
    </cfRule>
    <cfRule type="expression" dxfId="126" priority="25">
      <formula>TODAY() - K32 &lt;= 15</formula>
    </cfRule>
    <cfRule type="expression" dxfId="123" priority="26">
      <formula>AND(TODAY() - K32 &lt;= 30, TODAY() - K32+K32 &gt; 15)</formula>
    </cfRule>
    <cfRule type="expression" dxfId="124" priority="27">
      <formula>TODAY() - K32 &gt; 30</formula>
    </cfRule>
  </conditionalFormatting>
  <conditionalFormatting sqref="K34">
    <cfRule type="expression" dxfId="119" priority="10">
      <formula>TODAY() - K34 &lt;= 7</formula>
    </cfRule>
    <cfRule type="expression" dxfId="120" priority="11">
      <formula>TODAY() - K34 &lt;= 15</formula>
    </cfRule>
    <cfRule type="expression" dxfId="121" priority="12">
      <formula>AND(TODAY() - K34 &lt;= 30, TODAY() - K34+K34 &gt; 15)</formula>
    </cfRule>
    <cfRule type="expression" dxfId="122" priority="13">
      <formula>TODAY() - K34 &gt; 30</formula>
    </cfRule>
  </conditionalFormatting>
  <conditionalFormatting sqref="K35 K96:K99">
    <cfRule type="containsBlanks" dxfId="117" priority="148">
      <formula>LEN(TRIM(K35))=0</formula>
    </cfRule>
    <cfRule type="expression" dxfId="114" priority="149">
      <formula>TODAY() - K35 &lt;= 8</formula>
    </cfRule>
    <cfRule type="expression" dxfId="115" priority="150">
      <formula>TODAY() - K35 &lt;= 15</formula>
    </cfRule>
    <cfRule type="expression" dxfId="116" priority="151">
      <formula>AND(TODAY() - K35 &lt;= 30, TODAY() - K35+K35 &gt; 15)</formula>
    </cfRule>
    <cfRule type="expression" dxfId="118" priority="152">
      <formula>TODAY() - K35 &gt; 30</formula>
    </cfRule>
  </conditionalFormatting>
  <conditionalFormatting sqref="K37:K39 K92:K94 K25:K27 K2:K5">
    <cfRule type="expression" dxfId="113" priority="144">
      <formula>TODAY() - K2 &lt;= 8</formula>
    </cfRule>
  </conditionalFormatting>
  <conditionalFormatting sqref="K41:K52 K101 K103:K106">
    <cfRule type="expression" dxfId="111" priority="108">
      <formula>TODAY() - K41 &lt;= 15</formula>
    </cfRule>
    <cfRule type="expression" dxfId="110" priority="109">
      <formula>AND(TODAY() - K41 &lt;= 30, TODAY() - K41+K41 &gt; 15)</formula>
    </cfRule>
    <cfRule type="expression" dxfId="112" priority="110">
      <formula>TODAY() - K41 &gt; 30</formula>
    </cfRule>
  </conditionalFormatting>
  <conditionalFormatting sqref="K54:K60">
    <cfRule type="expression" dxfId="107" priority="126">
      <formula>TODAY() - K54 &lt;= 15</formula>
    </cfRule>
    <cfRule type="expression" dxfId="109" priority="127">
      <formula>AND(TODAY() - K54 &lt;= 30, TODAY() - K54+K54 &gt; 15)</formula>
    </cfRule>
    <cfRule type="expression" dxfId="108" priority="128">
      <formula>TODAY() - K54 &gt; 30</formula>
    </cfRule>
  </conditionalFormatting>
  <conditionalFormatting sqref="K54:K61">
    <cfRule type="containsBlanks" dxfId="106" priority="129">
      <formula>LEN(TRIM(K54))=0</formula>
    </cfRule>
    <cfRule type="expression" dxfId="105" priority="130">
      <formula>TODAY() - K54 &lt;= 7</formula>
    </cfRule>
  </conditionalFormatting>
  <conditionalFormatting sqref="K54:K70">
    <cfRule type="expression" dxfId="102" priority="131">
      <formula>TODAY() - K54 &lt;= 15</formula>
    </cfRule>
    <cfRule type="expression" dxfId="103" priority="132">
      <formula>AND(TODAY() - K54 &lt;= 30, TODAY() - K54+K54 &gt; 15)</formula>
    </cfRule>
    <cfRule type="expression" dxfId="104" priority="133">
      <formula>TODAY() - K54 &gt; 30</formula>
    </cfRule>
  </conditionalFormatting>
  <conditionalFormatting sqref="K62:K73">
    <cfRule type="expression" dxfId="101" priority="125">
      <formula>TODAY() - K62 &lt;= 7</formula>
    </cfRule>
  </conditionalFormatting>
  <conditionalFormatting sqref="K62:K79">
    <cfRule type="containsBlanks" dxfId="100" priority="81">
      <formula>LEN(TRIM(K62))=0</formula>
    </cfRule>
  </conditionalFormatting>
  <conditionalFormatting sqref="K71:K79">
    <cfRule type="expression" dxfId="99" priority="83">
      <formula>TODAY() - K71 &lt;= 15</formula>
    </cfRule>
    <cfRule type="expression" dxfId="98" priority="84">
      <formula>AND(TODAY() - K71 &lt;= 30, TODAY() - K71+K71 &gt; 15)</formula>
    </cfRule>
    <cfRule type="expression" dxfId="97" priority="85">
      <formula>TODAY() - K71 &gt; 30</formula>
    </cfRule>
  </conditionalFormatting>
  <conditionalFormatting sqref="K74:K79">
    <cfRule type="expression" dxfId="96" priority="82">
      <formula>TODAY() - K74 &lt;= 7</formula>
    </cfRule>
  </conditionalFormatting>
  <conditionalFormatting sqref="K101 K103:K106 K41:K52">
    <cfRule type="expression" dxfId="95" priority="107">
      <formula>TODAY() - K41 &lt;= 7</formula>
    </cfRule>
  </conditionalFormatting>
  <conditionalFormatting sqref="K101 K103:K106">
    <cfRule type="containsBlanks" dxfId="94" priority="106">
      <formula>LEN(TRIM(K101))=0</formula>
    </cfRule>
  </conditionalFormatting>
  <conditionalFormatting sqref="K108:K111">
    <cfRule type="containsBlanks" dxfId="92" priority="119">
      <formula>LEN(TRIM(K108))=0</formula>
    </cfRule>
    <cfRule type="expression" dxfId="91" priority="120">
      <formula>TODAY() - K108 &lt;= 7</formula>
    </cfRule>
    <cfRule type="expression" dxfId="93" priority="121">
      <formula>TODAY() - K108 &lt;= 15</formula>
    </cfRule>
    <cfRule type="expression" dxfId="90" priority="122">
      <formula>AND(TODAY() - K108 &lt;= 30, TODAY() - K108+K108 &gt; 15)</formula>
    </cfRule>
    <cfRule type="expression" dxfId="89" priority="123">
      <formula>TODAY() - K108 &gt; 30</formula>
    </cfRule>
  </conditionalFormatting>
  <conditionalFormatting sqref="K113:K114">
    <cfRule type="containsBlanks" dxfId="84" priority="47">
      <formula>LEN(TRIM(K113))=0</formula>
    </cfRule>
    <cfRule type="expression" dxfId="85" priority="48">
      <formula>TODAY() - K113 &lt;= 7</formula>
    </cfRule>
    <cfRule type="expression" dxfId="86" priority="49">
      <formula>TODAY() - K113 &lt;= 15</formula>
    </cfRule>
    <cfRule type="expression" dxfId="87" priority="50">
      <formula>AND(TODAY() - K113 &lt;= 30, TODAY() - K113+K113 &gt; 15)</formula>
    </cfRule>
    <cfRule type="expression" dxfId="88" priority="51">
      <formula>TODAY() - K113 &gt; 30</formula>
    </cfRule>
  </conditionalFormatting>
  <conditionalFormatting sqref="K116">
    <cfRule type="containsBlanks" dxfId="79" priority="35">
      <formula>LEN(TRIM(K116))=0</formula>
    </cfRule>
    <cfRule type="expression" dxfId="83" priority="36">
      <formula>TODAY() - K116 &lt;= 7</formula>
    </cfRule>
    <cfRule type="expression" dxfId="80" priority="37">
      <formula>TODAY() - K116 &lt;= 15</formula>
    </cfRule>
    <cfRule type="expression" dxfId="82" priority="38">
      <formula>AND(TODAY() - K116 &lt;= 30, TODAY() - K116+K116 &gt; 15)</formula>
    </cfRule>
    <cfRule type="expression" dxfId="81" priority="39">
      <formula>TODAY() - K116 &gt; 30</formula>
    </cfRule>
  </conditionalFormatting>
  <conditionalFormatting sqref="K140:K166 K171:K200">
    <cfRule type="containsBlanks" dxfId="78" priority="158">
      <formula>LEN(TRIM(K140))=0</formula>
    </cfRule>
    <cfRule type="expression" dxfId="77" priority="159">
      <formula>TODAY() - K140 &lt;= 8</formula>
    </cfRule>
    <cfRule type="expression" dxfId="76" priority="160">
      <formula>TODAY() - K140 &lt;= 15</formula>
    </cfRule>
    <cfRule type="expression" dxfId="75" priority="161">
      <formula>AND(TODAY() - K140 &lt;= 30, TODAY() - K140+K140 &gt; 15)</formula>
    </cfRule>
    <cfRule type="expression" dxfId="74" priority="162">
      <formula>TODAY() - K140 &gt; 30</formula>
    </cfRule>
  </conditionalFormatting>
  <conditionalFormatting sqref="N2:N22 N25:N31 N33:N35 N37:N80 R67:R159 N82:N90 N92:N116">
    <cfRule type="notContainsBlanks" dxfId="73" priority="143">
      <formula>LEN(TRIM(N2))&gt;0</formula>
    </cfRule>
  </conditionalFormatting>
  <conditionalFormatting sqref="N2:N22 N33:N35 N37:N80 R67:R159 N82:N90 N92:N116 N25:N31">
    <cfRule type="containsText" dxfId="72" priority="138" operator="containsText" text="Berni">
      <formula>NOT(ISERROR(SEARCH("Berni",N2)))</formula>
    </cfRule>
  </conditionalFormatting>
  <conditionalFormatting sqref="N2:N22 N33:N35 N37:N80 R67:R159 N82:N90 N92:N116">
    <cfRule type="containsText" dxfId="71" priority="98" operator="containsText" text="Saul">
      <formula>NOT(ISERROR(SEARCH("Saul",N2)))</formula>
    </cfRule>
    <cfRule type="containsText" dxfId="69" priority="134" operator="containsText" text="Saúl">
      <formula>NOT(ISERROR(SEARCH("Saúl",N2)))</formula>
    </cfRule>
    <cfRule type="containsText" dxfId="68" priority="136" operator="containsText" text="Oscar">
      <formula>NOT(ISERROR(SEARCH("Oscar",N2)))</formula>
    </cfRule>
    <cfRule type="containsText" dxfId="70" priority="137" operator="containsText" text="Diego">
      <formula>NOT(ISERROR(SEARCH("Diego",N2)))</formula>
    </cfRule>
  </conditionalFormatting>
  <conditionalFormatting sqref="N25:N32">
    <cfRule type="containsText" dxfId="67" priority="14" operator="containsText" text="Saul">
      <formula>NOT(ISERROR(SEARCH("Saul",N25)))</formula>
    </cfRule>
    <cfRule type="containsText" dxfId="66" priority="16" operator="containsText" text="Saúl">
      <formula>NOT(ISERROR(SEARCH("Saúl",N25)))</formula>
    </cfRule>
    <cfRule type="containsText" dxfId="65" priority="17" operator="containsText" text="Oscar">
      <formula>NOT(ISERROR(SEARCH("Oscar",N25)))</formula>
    </cfRule>
    <cfRule type="containsText" dxfId="64" priority="18" operator="containsText" text="Diego">
      <formula>NOT(ISERROR(SEARCH("Diego",N25)))</formula>
    </cfRule>
  </conditionalFormatting>
  <conditionalFormatting sqref="N32">
    <cfRule type="notContainsBlanks" dxfId="63" priority="23">
      <formula>LEN(TRIM(N32))&gt;0</formula>
    </cfRule>
  </conditionalFormatting>
  <conditionalFormatting sqref="N140:N169 N171:N200">
    <cfRule type="containsText" dxfId="61" priority="169" operator="containsText" text="Saul">
      <formula>NOT(ISERROR(SEARCH("Saul",N140)))</formula>
    </cfRule>
    <cfRule type="containsText" dxfId="60" priority="175" operator="containsText" text="Saúl">
      <formula>NOT(ISERROR(SEARCH("Saúl",N140)))</formula>
    </cfRule>
    <cfRule type="containsText" dxfId="59" priority="176" operator="containsText" text="Oscar">
      <formula>NOT(ISERROR(SEARCH("Oscar",N140)))</formula>
    </cfRule>
    <cfRule type="containsText" dxfId="58" priority="177" operator="containsText" text="Diego">
      <formula>NOT(ISERROR(SEARCH("Diego",N140)))</formula>
    </cfRule>
    <cfRule type="notContainsBlanks" dxfId="62" priority="182">
      <formula>LEN(TRIM(N140))&gt;0</formula>
    </cfRule>
  </conditionalFormatting>
  <conditionalFormatting sqref="O2:O22 A16:A23 O25:O31 K37:K52 O37:O73 A62:A65 U67:U535 O77:O80 A80 K82:K90 O82:O90 P92 K92:K94 O92:O117 S105:S162">
    <cfRule type="containsBlanks" dxfId="57" priority="91">
      <formula>LEN(TRIM(A2))=0</formula>
    </cfRule>
  </conditionalFormatting>
  <conditionalFormatting sqref="O2:O22 O25:O31 O37:O73 S67:S103 U67:U535 O77:O80 O82:O90 P92 O92:O117 S105:S162">
    <cfRule type="containsText" dxfId="56" priority="140" operator="containsText" text="On going">
      <formula>NOT(ISERROR(SEARCH("On going",O2)))</formula>
    </cfRule>
    <cfRule type="containsText" dxfId="55" priority="141" operator="containsText" text="Done">
      <formula>NOT(ISERROR(SEARCH("Done",O2)))</formula>
    </cfRule>
    <cfRule type="containsText" dxfId="54" priority="142" operator="containsText" text="Cancelled">
      <formula>NOT(ISERROR(SEARCH("Cancelled",O2)))</formula>
    </cfRule>
  </conditionalFormatting>
  <conditionalFormatting sqref="O32:O35">
    <cfRule type="containsBlanks" dxfId="53" priority="15">
      <formula>LEN(TRIM(O32))=0</formula>
    </cfRule>
    <cfRule type="containsText" dxfId="49" priority="19" operator="containsText" text="Pending">
      <formula>NOT(ISERROR(SEARCH("Pending",O32)))</formula>
    </cfRule>
    <cfRule type="containsText" dxfId="50" priority="20" operator="containsText" text="On going">
      <formula>NOT(ISERROR(SEARCH("On going",O32)))</formula>
    </cfRule>
    <cfRule type="containsText" dxfId="51" priority="21" operator="containsText" text="Done">
      <formula>NOT(ISERROR(SEARCH("Done",O32)))</formula>
    </cfRule>
    <cfRule type="containsText" dxfId="52" priority="22" operator="containsText" text="Cancelled">
      <formula>NOT(ISERROR(SEARCH("Cancelled",O32)))</formula>
    </cfRule>
  </conditionalFormatting>
  <conditionalFormatting sqref="O140:O169 S166:S171 O171:O199 S175:S180 S184:S189 S193:S198 S202:S207 S211:S216 S220:S225 S229:S234 S238:S243 S247:S252 S256:S261 S265:S270 S274:S279 S283:S288 S292:S297 S301:S306 S310:S315 S319:S324 S328:S333 S337:S342 S346:S351 S355:S360 S364:S369 S373:S378 S382:S387 S391:S396 S400:S405 S409:S414 S418:S423 S427:S432 S436:S441">
    <cfRule type="containsBlanks" dxfId="47" priority="170">
      <formula>LEN(TRIM(O140))=0</formula>
    </cfRule>
    <cfRule type="containsText" dxfId="46" priority="178" operator="containsText" text="Pending">
      <formula>NOT(ISERROR(SEARCH("Pending",O140)))</formula>
    </cfRule>
    <cfRule type="containsText" dxfId="45" priority="179" operator="containsText" text="On going">
      <formula>NOT(ISERROR(SEARCH("On going",O140)))</formula>
    </cfRule>
    <cfRule type="containsText" dxfId="44" priority="180" operator="containsText" text="Done">
      <formula>NOT(ISERROR(SEARCH("Done",O140)))</formula>
    </cfRule>
    <cfRule type="containsText" dxfId="48" priority="181" operator="containsText" text="Cancelled">
      <formula>NOT(ISERROR(SEARCH("Cancelled",O140)))</formula>
    </cfRule>
  </conditionalFormatting>
  <conditionalFormatting sqref="R161:R168 R170:R177 R179:R186 R188:R195 R197:R204 R206:R213 R215:R222 R224:R231 R233:R240 R242:R249 R251:R258 R260:R267 R269:R276 R278:R285 R287:R294 R296:R303 R305:R312 R314:R321 R323:R330 R332:R339 R341:R348 R350:R357 R359:R366 R368:R375 R377:R384 R386:R393 R395:R402 R404:R411 R413:R420 R422:R429 R431:R438 R440:R441">
    <cfRule type="containsText" dxfId="42" priority="153" operator="containsText" text="Saul">
      <formula>NOT(ISERROR(SEARCH("Saul",R161)))</formula>
    </cfRule>
    <cfRule type="containsText" dxfId="41" priority="154" operator="containsText" text="Saúl">
      <formula>NOT(ISERROR(SEARCH("Saúl",R161)))</formula>
    </cfRule>
    <cfRule type="containsText" dxfId="40" priority="155" operator="containsText" text="Oscar">
      <formula>NOT(ISERROR(SEARCH("Oscar",R161)))</formula>
    </cfRule>
    <cfRule type="containsText" dxfId="43" priority="156" operator="containsText" text="Diego">
      <formula>NOT(ISERROR(SEARCH("Diego",R161)))</formula>
    </cfRule>
    <cfRule type="notContainsBlanks" dxfId="39" priority="157">
      <formula>LEN(TRIM(R161))&gt;0</formula>
    </cfRule>
  </conditionalFormatting>
  <conditionalFormatting sqref="R1:U1">
    <cfRule type="containsBlanks" dxfId="38" priority="171">
      <formula>LEN(TRIM(R1))=0</formula>
    </cfRule>
    <cfRule type="containsText" dxfId="37" priority="173" operator="containsText" text="Done">
      <formula>NOT(ISERROR(SEARCH("Done",R1)))</formula>
    </cfRule>
    <cfRule type="containsText" dxfId="36" priority="174" operator="containsText" text="Cancelled">
      <formula>NOT(ISERROR(SEARCH("Cancelled",R1)))</formula>
    </cfRule>
  </conditionalFormatting>
  <conditionalFormatting sqref="S67:S103 O2:O22 O25:O31 O37:O73 U67:U535 O77:O80 O82:O90 P92 O92:O117 S105:S162">
    <cfRule type="containsText" dxfId="35" priority="139" operator="containsText" text="Pending">
      <formula>NOT(ISERROR(SEARCH("Pending",O2)))</formula>
    </cfRule>
  </conditionalFormatting>
  <conditionalFormatting sqref="S67:S103">
    <cfRule type="containsBlanks" dxfId="34" priority="135">
      <formula>LEN(TRIM(S67))=0</formula>
    </cfRule>
  </conditionalFormatting>
  <conditionalFormatting sqref="T1:U1">
    <cfRule type="containsText" dxfId="33" priority="172" operator="containsText" text="On going">
      <formula>NOT(ISERROR(SEARCH("On going",T1)))</formula>
    </cfRule>
  </conditionalFormatting>
  <pageMargins left="0.7" right="0.7" top="0.75" bottom="0.75" header="0.3" footer="0.3"/>
  <headerFooter>
    <oddFooter>&amp;C_x000D_&amp;1#&amp;"Aptos"&amp;8&amp;K000000 Public</oddFooter>
  </headerFooter>
  <tableParts count="5">
    <tablePart r:id="rId1"/>
    <tablePart r:id="rId2"/>
    <tablePart r:id="rId3"/>
    <tablePart r:id="rId4"/>
    <tablePart r:id="rId5"/>
  </tableParts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IPS Q1</vt:lpstr>
      <vt:lpstr>Contram 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Tinoco, Jose Francisco (contracted)</dc:creator>
  <cp:lastModifiedBy>Tinoco, Jose Francisco (contracted)</cp:lastModifiedBy>
  <dcterms:created xsi:type="dcterms:W3CDTF">2026-04-07T15:25:33Z</dcterms:created>
  <dcterms:modified xsi:type="dcterms:W3CDTF">2026-04-07T15:27:04Z</dcterms:modified>
</cp:coreProperties>
</file>